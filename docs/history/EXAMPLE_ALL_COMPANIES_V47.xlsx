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7" autoFilterDateGrouping="1"/>
  </bookViews>
  <sheets>
    <sheet xmlns:r="http://schemas.openxmlformats.org/officeDocument/2006/relationships" name="Сравнение-старыеW-новыеW" sheetId="1" state="hidden" r:id="rId1"/>
    <sheet xmlns:r="http://schemas.openxmlformats.org/officeDocument/2006/relationships" name="новыеW" sheetId="2" state="visible" r:id="rId2"/>
    <sheet xmlns:r="http://schemas.openxmlformats.org/officeDocument/2006/relationships" name="старыеW" sheetId="3" state="hidden" r:id="rId3"/>
    <sheet xmlns:r="http://schemas.openxmlformats.org/officeDocument/2006/relationships" name="Ценообразование" sheetId="4" state="hidden" r:id="rId4"/>
    <sheet xmlns:r="http://schemas.openxmlformats.org/officeDocument/2006/relationships" name="склейка" sheetId="5" state="visible" r:id="rId5"/>
    <sheet xmlns:r="http://schemas.openxmlformats.org/officeDocument/2006/relationships" name="рабочий" sheetId="6" state="visible" r:id="rId6"/>
    <sheet xmlns:r="http://schemas.openxmlformats.org/officeDocument/2006/relationships" name="WernerOld" sheetId="7" state="visible" r:id="rId7"/>
    <sheet xmlns:r="http://schemas.openxmlformats.org/officeDocument/2006/relationships" name="Графики" sheetId="8" state="visible" r:id="rId8"/>
    <sheet xmlns:r="http://schemas.openxmlformats.org/officeDocument/2006/relationships" name="WernerNEW" sheetId="9" state="visible" r:id="rId9"/>
    <sheet xmlns:r="http://schemas.openxmlformats.org/officeDocument/2006/relationships" name="Направления" sheetId="10" state="visible" r:id="rId10"/>
    <sheet xmlns:r="http://schemas.openxmlformats.org/officeDocument/2006/relationships" name="ДЛ" sheetId="11" state="visible" r:id="rId11"/>
    <sheet xmlns:r="http://schemas.openxmlformats.org/officeDocument/2006/relationships" name="ПЭК" sheetId="12" state="visible" r:id="rId12"/>
    <sheet xmlns:r="http://schemas.openxmlformats.org/officeDocument/2006/relationships" name="КИТ" sheetId="13" state="visible" r:id="rId13"/>
    <sheet xmlns:r="http://schemas.openxmlformats.org/officeDocument/2006/relationships" name="Возовоз" sheetId="14" state="visible" r:id="rId14"/>
    <sheet xmlns:r="http://schemas.openxmlformats.org/officeDocument/2006/relationships" name="Мейджик" sheetId="15" state="visible" r:id="rId15"/>
    <sheet xmlns:r="http://schemas.openxmlformats.org/officeDocument/2006/relationships" name="Главтрасса" sheetId="16" state="visible" r:id="rId16"/>
    <sheet xmlns:r="http://schemas.openxmlformats.org/officeDocument/2006/relationships" name="Пролайн" sheetId="17" state="visible" r:id="rId17"/>
    <sheet xmlns:r="http://schemas.openxmlformats.org/officeDocument/2006/relationships" name="Фортуна" sheetId="18" state="visible" r:id="rId18"/>
    <sheet xmlns:r="http://schemas.openxmlformats.org/officeDocument/2006/relationships" name="Грузопоток" sheetId="19" state="visible" r:id="rId19"/>
    <sheet xmlns:r="http://schemas.openxmlformats.org/officeDocument/2006/relationships" name="ФастТранс" sheetId="20" state="visible" r:id="rId20"/>
    <sheet xmlns:r="http://schemas.openxmlformats.org/officeDocument/2006/relationships" name="РейлКонтинент" sheetId="21" state="visible" r:id="rId21"/>
    <sheet xmlns:r="http://schemas.openxmlformats.org/officeDocument/2006/relationships" name="АТЭК" sheetId="22" state="visible" r:id="rId22"/>
    <sheet xmlns:r="http://schemas.openxmlformats.org/officeDocument/2006/relationships" name="НоваяЛиния" sheetId="23" state="visible" r:id="rId23"/>
    <sheet xmlns:r="http://schemas.openxmlformats.org/officeDocument/2006/relationships" name="БСК" sheetId="24" state="visible" r:id="rId24"/>
    <sheet xmlns:r="http://schemas.openxmlformats.org/officeDocument/2006/relationships" name="ЭкспедицияПлюс" sheetId="25" state="visible" r:id="rId25"/>
    <sheet xmlns:r="http://schemas.openxmlformats.org/officeDocument/2006/relationships" name="CTSgroup" sheetId="26" state="visible" r:id="rId26"/>
    <sheet xmlns:r="http://schemas.openxmlformats.org/officeDocument/2006/relationships" name="Енисей" sheetId="27" state="visible" r:id="rId27"/>
    <sheet xmlns:r="http://schemas.openxmlformats.org/officeDocument/2006/relationships" name="Терминал" sheetId="28" state="visible" r:id="rId28"/>
    <sheet xmlns:r="http://schemas.openxmlformats.org/officeDocument/2006/relationships" name="Сибтехнотранс" sheetId="29" state="visible" r:id="rId29"/>
    <sheet xmlns:r="http://schemas.openxmlformats.org/officeDocument/2006/relationships" name="ИмперияАвто" sheetId="30" state="visible" r:id="rId30"/>
    <sheet xmlns:r="http://schemas.openxmlformats.org/officeDocument/2006/relationships" name="Магистраль" sheetId="31" state="visible" r:id="rId31"/>
    <sheet xmlns:r="http://schemas.openxmlformats.org/officeDocument/2006/relationships" name="Транзит" sheetId="32" state="visible" r:id="rId32"/>
    <sheet xmlns:r="http://schemas.openxmlformats.org/officeDocument/2006/relationships" name="АРТК" sheetId="33" state="visible" r:id="rId33"/>
    <sheet xmlns:r="http://schemas.openxmlformats.org/officeDocument/2006/relationships" name="Аскор" sheetId="34" state="visible" r:id="rId34"/>
    <sheet xmlns:r="http://schemas.openxmlformats.org/officeDocument/2006/relationships" name="КараванКарго" sheetId="35" state="visible" r:id="rId35"/>
    <sheet xmlns:r="http://schemas.openxmlformats.org/officeDocument/2006/relationships" name="СолнечныйМагадан" sheetId="36" state="visible" r:id="rId36"/>
    <sheet xmlns:r="http://schemas.openxmlformats.org/officeDocument/2006/relationships" name="Анкор" sheetId="37" state="visible" r:id="rId37"/>
    <sheet xmlns:r="http://schemas.openxmlformats.org/officeDocument/2006/relationships" name="ЖелдорАльянс" sheetId="38" state="visible" r:id="rId38"/>
    <sheet xmlns:r="http://schemas.openxmlformats.org/officeDocument/2006/relationships" name="ЖелдорЭкспресс" sheetId="39" state="visible" r:id="rId39"/>
    <sheet xmlns:r="http://schemas.openxmlformats.org/officeDocument/2006/relationships" name="МТК авто" sheetId="40" state="visible" r:id="rId40"/>
    <sheet xmlns:r="http://schemas.openxmlformats.org/officeDocument/2006/relationships" name="МТК жд" sheetId="41" state="visible" r:id="rId41"/>
    <sheet xmlns:r="http://schemas.openxmlformats.org/officeDocument/2006/relationships" name="Байкал Сервис" sheetId="42" state="visible" r:id="rId42"/>
    <sheet xmlns:r="http://schemas.openxmlformats.org/officeDocument/2006/relationships" name="Источники" sheetId="43" state="visible" r:id="rId43"/>
    <sheet xmlns:r="http://schemas.openxmlformats.org/officeDocument/2006/relationships" name="Сбор" sheetId="44" state="visible" r:id="rId44"/>
  </sheets>
  <definedNames>
    <definedName name="_xlnm._FilterDatabase" localSheetId="6" hidden="1">'WernerOld'!$A$1:$AF$2</definedName>
    <definedName name="_xlnm._FilterDatabase" localSheetId="8" hidden="1">'WernerNEW'!$A$1:$AF$2</definedName>
    <definedName name="_xlnm._FilterDatabase" localSheetId="10" hidden="1">'ДЛ'!$A$1:$AF$2</definedName>
    <definedName name="_xlnm._FilterDatabase" localSheetId="11" hidden="1">'ПЭК'!$A$1:$AF$2</definedName>
    <definedName name="_xlnm._FilterDatabase" localSheetId="12" hidden="1">'КИТ'!$A$1:$AF$2</definedName>
    <definedName name="_xlnm._FilterDatabase" localSheetId="13" hidden="1">'Возовоз'!$A$1:$AF$2</definedName>
    <definedName name="_xlnm._FilterDatabase" localSheetId="14" hidden="1">'Мейджик'!$A$1:$AF$2</definedName>
    <definedName name="_xlnm._FilterDatabase" localSheetId="15" hidden="1">'Главтрасса'!$A$1:$AF$2</definedName>
    <definedName name="_xlnm._FilterDatabase" localSheetId="16" hidden="1">'Пролайн'!$A$1:$AF$2</definedName>
    <definedName name="_xlnm._FilterDatabase" localSheetId="17" hidden="1">'Фортуна'!$A$1:$AF$2</definedName>
    <definedName name="_xlnm._FilterDatabase" localSheetId="18" hidden="1">'Грузопоток'!$A$1:$AF$2</definedName>
    <definedName name="_xlnm._FilterDatabase" localSheetId="19" hidden="1">'ФастТранс'!$A$1:$AF$2</definedName>
    <definedName name="_xlnm._FilterDatabase" localSheetId="20" hidden="1">'РейлКонтинент'!$A$1:$AF$2</definedName>
    <definedName name="_xlnm._FilterDatabase" localSheetId="21" hidden="1">'АТЭК'!$A$1:$AF$2</definedName>
    <definedName name="_xlnm._FilterDatabase" localSheetId="22" hidden="1">'НоваяЛиния'!$A$1:$AF$2</definedName>
    <definedName name="_xlnm._FilterDatabase" localSheetId="23" hidden="1">'БСК'!$A$1:$AF$2</definedName>
    <definedName name="_xlnm._FilterDatabase" localSheetId="24" hidden="1">'ЭкспедицияПлюс'!$A$1:$AF$2</definedName>
    <definedName name="_xlnm._FilterDatabase" localSheetId="25" hidden="1">'CTSgroup'!$A$1:$AF$2</definedName>
    <definedName name="_xlnm._FilterDatabase" localSheetId="26" hidden="1">'Енисей'!$A$1:$AF$2</definedName>
    <definedName name="_xlnm._FilterDatabase" localSheetId="27" hidden="1">'Терминал'!$A$1:$AF$2</definedName>
    <definedName name="_xlnm._FilterDatabase" localSheetId="28" hidden="1">'Сибтехнотранс'!$A$1:$AF$2</definedName>
    <definedName name="_xlnm._FilterDatabase" localSheetId="29" hidden="1">'ИмперияАвто'!$A$1:$AF$2</definedName>
    <definedName name="_xlnm._FilterDatabase" localSheetId="30" hidden="1">'Магистраль'!$A$1:$AF$2</definedName>
    <definedName name="_xlnm._FilterDatabase" localSheetId="31" hidden="1">'Транзит'!$A$1:$AF$2</definedName>
    <definedName name="_xlnm._FilterDatabase" localSheetId="32" hidden="1">'АРТК'!$A$1:$AF$2</definedName>
    <definedName name="_xlnm._FilterDatabase" localSheetId="33" hidden="1">'Аскор'!$A$1:$AF$2</definedName>
    <definedName name="_xlnm._FilterDatabase" localSheetId="34" hidden="1">'КараванКарго'!$A$1:$AF$2</definedName>
    <definedName name="_xlnm._FilterDatabase" localSheetId="35" hidden="1">'СолнечныйМагадан'!$A$1:$AF$2</definedName>
    <definedName name="_xlnm._FilterDatabase" localSheetId="36" hidden="1">'Анкор'!$A$1:$AF$2</definedName>
    <definedName name="_xlnm._FilterDatabase" localSheetId="37" hidden="1">'ЖелдорАльянс'!$A$1:$AF$2</definedName>
    <definedName name="_xlnm._FilterDatabase" localSheetId="38" hidden="1">'ЖелдорЭкспресс'!$A$1:$AF$2</definedName>
    <definedName name="_xlnm._FilterDatabase" localSheetId="39" hidden="1">'МТК авто'!$A$1:$AF$2</definedName>
    <definedName name="_xlnm._FilterDatabase" localSheetId="40" hidden="1">'МТК жд'!$A$1:$AF$2</definedName>
    <definedName name="_xlnm._FilterDatabase" localSheetId="41" hidden="1">'Байкал Сервис'!$A$1:$AF$2</definedName>
    <definedName name="_xlnm._FilterDatabase" localSheetId="42" hidden="1">'Источники'!$A$1:$N$85</definedName>
  </definedNames>
  <calcPr calcId="124519" calcMode="auto" fullCalcOnLoad="1" forceFullCalc="1"/>
</workbook>
</file>

<file path=xl/styles.xml><?xml version="1.0" encoding="utf-8"?>
<styleSheet xmlns="http://schemas.openxmlformats.org/spreadsheetml/2006/main">
  <numFmts count="0"/>
  <fonts count="3">
    <font>
      <name val="Carlito"/>
      <sz val="11"/>
    </font>
    <font>
      <name val="Arial"/>
      <sz val="10"/>
    </font>
    <font>
      <name val="Arial"/>
      <b val="1"/>
      <sz val="10"/>
    </font>
  </fonts>
  <fills count="8">
    <fill>
      <patternFill/>
    </fill>
    <fill>
      <patternFill patternType="gray125"/>
    </fill>
    <fill>
      <patternFill patternType="solid">
        <fgColor rgb="FFE7E6E6"/>
      </patternFill>
    </fill>
    <fill>
      <patternFill patternType="solid">
        <fgColor rgb="FFEB0045"/>
      </patternFill>
    </fill>
    <fill>
      <patternFill patternType="solid">
        <fgColor rgb="FF00B0F0"/>
      </patternFill>
    </fill>
    <fill>
      <patternFill patternType="solid">
        <fgColor rgb="FFEEEEEE"/>
      </patternFill>
    </fill>
    <fill>
      <patternFill patternType="solid">
        <fgColor rgb="FFFFFFCC"/>
      </patternFill>
    </fill>
    <fill>
      <patternFill patternType="solid">
        <fgColor rgb="00FFF2CC"/>
      </patternFill>
    </fill>
  </fills>
  <borders count="1">
    <border/>
  </borders>
  <cellStyleXfs count="1">
    <xf numFmtId="0" fontId="0" fillId="0" borderId="0"/>
  </cellStyleXfs>
  <cellXfs count="37">
    <xf numFmtId="0" fontId="0" fillId="0" borderId="0" pivotButton="0" quotePrefix="0" xfId="0"/>
    <xf numFmtId="0" fontId="1" fillId="0" borderId="0" pivotButton="0" quotePrefix="0" xfId="0"/>
    <xf numFmtId="0" fontId="1" fillId="2" borderId="0" pivotButton="0" quotePrefix="0" xfId="0"/>
    <xf numFmtId="0" fontId="2" fillId="2" borderId="0" pivotButton="0" quotePrefix="0" xfId="0"/>
    <xf numFmtId="0" fontId="2" fillId="2" borderId="0" applyAlignment="1" pivotButton="0" quotePrefix="0" xfId="0">
      <alignment wrapText="1"/>
    </xf>
    <xf numFmtId="0" fontId="2" fillId="2" borderId="0" applyAlignment="1" pivotButton="0" quotePrefix="0" xfId="0">
      <alignment horizontal="center" wrapText="1"/>
    </xf>
    <xf numFmtId="0" fontId="2" fillId="2" borderId="0" applyAlignment="1" pivotButton="0" quotePrefix="0" xfId="0">
      <alignment horizontal="center" vertical="center" wrapText="1"/>
    </xf>
    <xf numFmtId="0" fontId="1"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1" fillId="4" borderId="0" pivotButton="0" quotePrefix="0" xfId="0"/>
    <xf numFmtId="0" fontId="2" fillId="4" borderId="0" pivotButton="0" quotePrefix="0" xfId="0"/>
    <xf numFmtId="0" fontId="2" fillId="4" borderId="0" applyAlignment="1" pivotButton="0" quotePrefix="0" xfId="0">
      <alignment wrapText="1"/>
    </xf>
    <xf numFmtId="0" fontId="2" fillId="4" borderId="0" applyAlignment="1" pivotButton="0" quotePrefix="0" xfId="0">
      <alignment horizontal="center" wrapText="1"/>
    </xf>
    <xf numFmtId="0" fontId="2" fillId="4" borderId="0" applyAlignment="1" pivotButton="0" quotePrefix="0" xfId="0">
      <alignment horizontal="center" vertical="center" wrapText="1"/>
    </xf>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5" borderId="0" pivotButton="0" quotePrefix="0" xfId="0"/>
    <xf numFmtId="0" fontId="2" fillId="5" borderId="0" applyAlignment="1" pivotButton="0" quotePrefix="0" xfId="0">
      <alignment wrapText="1"/>
    </xf>
    <xf numFmtId="0" fontId="2" fillId="5" borderId="0" applyAlignment="1" pivotButton="0" quotePrefix="0" xfId="0">
      <alignment horizontal="center" wrapText="1"/>
    </xf>
    <xf numFmtId="0" fontId="2" fillId="5" borderId="0" applyAlignment="1" pivotButton="0" quotePrefix="0" xfId="0">
      <alignment horizontal="center" vertical="center" wrapText="1"/>
    </xf>
    <xf numFmtId="0" fontId="1" fillId="6" borderId="0" pivotButton="0" quotePrefix="0" xfId="0"/>
    <xf numFmtId="0" fontId="2" fillId="6" borderId="0" pivotButton="0" quotePrefix="0" xfId="0"/>
    <xf numFmtId="0" fontId="2" fillId="6" borderId="0" applyAlignment="1" pivotButton="0" quotePrefix="0" xfId="0">
      <alignment wrapText="1"/>
    </xf>
    <xf numFmtId="0" fontId="2" fillId="6" borderId="0" applyAlignment="1" pivotButton="0" quotePrefix="0" xfId="0">
      <alignment horizontal="center" wrapText="1"/>
    </xf>
    <xf numFmtId="0" fontId="2" fillId="6" borderId="0" applyAlignment="1" pivotButton="0" quotePrefix="0" xfId="0">
      <alignment horizontal="center" vertical="center" wrapText="1"/>
    </xf>
    <xf numFmtId="0" fontId="0" fillId="5" borderId="0" pivotButton="0" quotePrefix="0" xfId="0"/>
    <xf numFmtId="0" fontId="1" fillId="0" borderId="0" applyAlignment="1" pivotButton="0" quotePrefix="0" xfId="0">
      <alignment vertical="center"/>
    </xf>
    <xf numFmtId="4" fontId="0" fillId="0" borderId="0" pivotButton="0" quotePrefix="0" xfId="0"/>
    <xf numFmtId="4" fontId="1" fillId="0" borderId="0" pivotButton="0" quotePrefix="0" xfId="0"/>
    <xf numFmtId="0" fontId="2" fillId="7" borderId="0" applyAlignment="1" pivotButton="0" quotePrefix="0" xfId="0">
      <alignment vertical="center"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Малые отправления, ₽</a:t>
            </a:r>
          </a:p>
        </rich>
      </tx>
    </title>
    <plotArea>
      <lineChart>
        <grouping val="standard"/>
        <ser>
          <idx val="0"/>
          <order val="0"/>
          <tx>
            <v>WernerNEW</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'Графики'!$E$19:$M$19</f>
            </numRef>
          </val>
        </ser>
        <ser>
          <idx val="1"/>
          <order val="1"/>
          <tx>
            <v>ДЛ</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'Графики'!$E$21:$M$21</f>
            </numRef>
          </val>
        </ser>
        <ser>
          <idx val="2"/>
          <order val="2"/>
          <tx>
            <v>ПЭК</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'Графики'!$E$22:$M$22</f>
            </numRef>
          </val>
        </ser>
        <ser>
          <idx val="3"/>
          <order val="3"/>
          <tx>
            <v>КИТ</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'Графики'!$E$23:$M$23</f>
            </numRef>
          </val>
        </ser>
        <ser>
          <idx val="4"/>
          <order val="4"/>
          <tx>
            <v>Возовоз</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'Графики'!$E$24:$M$24</f>
            </numRef>
          </val>
        </ser>
        <ser>
          <idx val="5"/>
          <order val="5"/>
          <tx>
            <v>Мейджик</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'Графики'!$E$25:$M$25</f>
            </numRef>
          </val>
        </ser>
        <ser>
          <idx val="6"/>
          <order val="6"/>
          <tx>
            <v>Главтрасса</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'Графики'!$E$26:$M$26</f>
            </numRef>
          </val>
        </ser>
        <ser>
          <idx val="7"/>
          <order val="7"/>
          <tx>
            <v>Пролайн</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'Графики'!$E$27:$M$27</f>
            </numRef>
          </val>
        </ser>
        <ser>
          <idx val="8"/>
          <order val="8"/>
          <tx>
            <v>Фортуна</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'Графики'!$E$28:$M$28</f>
            </numRef>
          </val>
        </ser>
        <ser>
          <idx val="9"/>
          <order val="9"/>
          <tx>
            <v>Грузопоток</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'Графики'!$E$29:$M$29</f>
            </numRef>
          </val>
        </ser>
        <ser>
          <idx val="10"/>
          <order val="10"/>
          <tx>
            <v>ФастТранс</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'Графики'!$E$30:$M$30</f>
            </numRef>
          </val>
        </ser>
        <ser>
          <idx val="11"/>
          <order val="11"/>
          <tx>
            <v>РейлКонтинент</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'Графики'!$E$31:$M$31</f>
            </numRef>
          </val>
        </ser>
        <ser>
          <idx val="12"/>
          <order val="12"/>
          <tx>
            <v>АТЭК</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'Графики'!$E$32:$M$32</f>
            </numRef>
          </val>
        </ser>
        <ser>
          <idx val="13"/>
          <order val="13"/>
          <tx>
            <v>НоваяЛиния</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'Графики'!$E$33:$M$33</f>
            </numRef>
          </val>
        </ser>
        <ser>
          <idx val="14"/>
          <order val="14"/>
          <tx>
            <v>БСК</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'Графики'!$E$34:$M$34</f>
            </numRef>
          </val>
        </ser>
        <ser>
          <idx val="15"/>
          <order val="15"/>
          <tx>
            <v>ЭкспедицияПлюс</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'Графики'!$E$35:$M$35</f>
            </numRef>
          </val>
        </ser>
        <ser>
          <idx val="16"/>
          <order val="16"/>
          <tx>
            <v>CTSgroup</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'Графики'!$E$36:$M$36</f>
            </numRef>
          </val>
        </ser>
        <ser>
          <idx val="17"/>
          <order val="17"/>
          <tx>
            <v>Байкал Сервис</v>
          </tx>
          <spPr>
            <a:ln xmlns:a="http://schemas.openxmlformats.org/drawingml/2006/main">
              <a:prstDash val="solid"/>
            </a:ln>
          </spPr>
          <marker>
            <symbol val="none"/>
            <spPr>
              <a:ln xmlns:a="http://schemas.openxmlformats.org/drawingml/2006/main">
                <a:prstDash val="solid"/>
              </a:ln>
            </spPr>
          </marker>
          <cat>
            <numRef>
              <f>'Графики'!$E$18:$M$18</f>
            </numRef>
          </cat>
          <val>
            <numRef>
              <f>'Графики'!$E$52:$M$52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Тарифы от 100 кг, ₽/кг</a:t>
            </a:r>
          </a:p>
        </rich>
      </tx>
    </title>
    <plotArea>
      <lineChart>
        <grouping val="standard"/>
        <ser>
          <idx val="0"/>
          <order val="0"/>
          <tx>
            <v>WernerNEW</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'Графики'!$O$19:$AG$19</f>
            </numRef>
          </val>
        </ser>
        <ser>
          <idx val="1"/>
          <order val="1"/>
          <tx>
            <v>ДЛ</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'Графики'!$O$21:$AG$21</f>
            </numRef>
          </val>
        </ser>
        <ser>
          <idx val="2"/>
          <order val="2"/>
          <tx>
            <v>ПЭК</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'Графики'!$O$22:$AG$22</f>
            </numRef>
          </val>
        </ser>
        <ser>
          <idx val="3"/>
          <order val="3"/>
          <tx>
            <v>КИТ</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'Графики'!$O$23:$AG$23</f>
            </numRef>
          </val>
        </ser>
        <ser>
          <idx val="4"/>
          <order val="4"/>
          <tx>
            <v>Возовоз</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'Графики'!$O$24:$AG$24</f>
            </numRef>
          </val>
        </ser>
        <ser>
          <idx val="5"/>
          <order val="5"/>
          <tx>
            <v>Мейджик</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'Графики'!$O$25:$AG$25</f>
            </numRef>
          </val>
        </ser>
        <ser>
          <idx val="6"/>
          <order val="6"/>
          <tx>
            <v>Главтрасса</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'Графики'!$O$26:$AG$26</f>
            </numRef>
          </val>
        </ser>
        <ser>
          <idx val="7"/>
          <order val="7"/>
          <tx>
            <v>Пролайн</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'Графики'!$O$27:$AG$27</f>
            </numRef>
          </val>
        </ser>
        <ser>
          <idx val="8"/>
          <order val="8"/>
          <tx>
            <v>Фортуна</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'Графики'!$O$28:$AG$28</f>
            </numRef>
          </val>
        </ser>
        <ser>
          <idx val="9"/>
          <order val="9"/>
          <tx>
            <v>Грузопоток</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'Графики'!$O$29:$AG$29</f>
            </numRef>
          </val>
        </ser>
        <ser>
          <idx val="10"/>
          <order val="10"/>
          <tx>
            <v>ФастТранс</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'Графики'!$O$30:$AG$30</f>
            </numRef>
          </val>
        </ser>
        <ser>
          <idx val="11"/>
          <order val="11"/>
          <tx>
            <v>РейлКонтинент</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'Графики'!$O$31:$AG$31</f>
            </numRef>
          </val>
        </ser>
        <ser>
          <idx val="12"/>
          <order val="12"/>
          <tx>
            <v>АТЭК</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'Графики'!$O$32:$AG$32</f>
            </numRef>
          </val>
        </ser>
        <ser>
          <idx val="13"/>
          <order val="13"/>
          <tx>
            <v>НоваяЛиния</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'Графики'!$O$33:$AG$33</f>
            </numRef>
          </val>
        </ser>
        <ser>
          <idx val="14"/>
          <order val="14"/>
          <tx>
            <v>БСК</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'Графики'!$O$34:$AG$34</f>
            </numRef>
          </val>
        </ser>
        <ser>
          <idx val="15"/>
          <order val="15"/>
          <tx>
            <v>ЭкспедицияПлюс</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'Графики'!$O$35:$AG$35</f>
            </numRef>
          </val>
        </ser>
        <ser>
          <idx val="16"/>
          <order val="16"/>
          <tx>
            <v>CTSgroup</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'Графики'!$O$36:$AG$36</f>
            </numRef>
          </val>
        </ser>
        <ser>
          <idx val="17"/>
          <order val="17"/>
          <tx>
            <v>Байкал Сервис</v>
          </tx>
          <spPr>
            <a:ln xmlns:a="http://schemas.openxmlformats.org/drawingml/2006/main">
              <a:prstDash val="solid"/>
            </a:ln>
          </spPr>
          <marker>
            <symbol val="none"/>
            <spPr>
              <a:ln xmlns:a="http://schemas.openxmlformats.org/drawingml/2006/main">
                <a:prstDash val="solid"/>
              </a:ln>
            </spPr>
          </marker>
          <cat>
            <numRef>
              <f>'Графики'!$O$18:$AG$18</f>
            </numRef>
          </cat>
          <val>
            <numRef>
              <f>'Графики'!$O$52:$AG$52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₽/кг</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0</row>
      <rowOff>0</rowOff>
    </from>
    <ext cx="86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0</row>
      <rowOff>0</rowOff>
    </from>
    <ext cx="86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BK7"/>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6" t="inlineStr">
        <is>
          <t>Пункт отправления</t>
        </is>
      </c>
      <c r="B1" s="6" t="inlineStr">
        <is>
          <t>Пункт назначения</t>
        </is>
      </c>
      <c r="C1" s="6" t="inlineStr">
        <is>
          <t>Фиксированные тарифы</t>
        </is>
      </c>
      <c r="F1" s="6" t="inlineStr">
        <is>
          <t>Вес (кг)</t>
        </is>
      </c>
      <c r="M1" s="11" t="inlineStr">
        <is>
          <t>Объём (м³)</t>
        </is>
      </c>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31" t="n"/>
      <c r="B2" s="31" t="n"/>
      <c r="C2" s="31" t="n"/>
      <c r="D2" s="31" t="n"/>
      <c r="E2" s="31" t="n"/>
      <c r="F2" s="31" t="n"/>
      <c r="G2" s="31" t="n"/>
      <c r="H2" s="31" t="n"/>
      <c r="I2" s="31" t="n"/>
      <c r="J2" s="31" t="n"/>
      <c r="K2" s="31" t="n"/>
      <c r="L2" s="31" t="n"/>
      <c r="M2" s="31" t="n"/>
      <c r="N2" s="31" t="n"/>
      <c r="O2" s="31" t="n"/>
      <c r="P2" s="31" t="n"/>
      <c r="Q2" s="31" t="n"/>
      <c r="R2" s="31" t="n"/>
      <c r="S2" s="1" t="n"/>
      <c r="T2" s="16" t="inlineStr">
        <is>
          <t>Вес ( кг )</t>
        </is>
      </c>
      <c r="U2" s="16" t="inlineStr">
        <is>
          <t>Услуга</t>
        </is>
      </c>
      <c r="V2" s="16" t="inlineStr">
        <is>
          <t>0 - 5</t>
        </is>
      </c>
      <c r="W2" s="16" t="inlineStr">
        <is>
          <t>5,01 - 20</t>
        </is>
      </c>
      <c r="X2" s="16" t="inlineStr">
        <is>
          <t>20,01 - 41</t>
        </is>
      </c>
      <c r="Y2" s="16" t="inlineStr">
        <is>
          <t>41,01 -100</t>
        </is>
      </c>
      <c r="Z2" s="16" t="inlineStr">
        <is>
          <t>100,01 - 300</t>
        </is>
      </c>
      <c r="AA2" s="16" t="inlineStr">
        <is>
          <t>300,01 - 500</t>
        </is>
      </c>
      <c r="AB2" s="16" t="inlineStr">
        <is>
          <t>500,01 - 650</t>
        </is>
      </c>
      <c r="AC2" s="16" t="inlineStr">
        <is>
          <t>650,001 - 800</t>
        </is>
      </c>
      <c r="AD2" s="16" t="inlineStr">
        <is>
          <t>800,01 - 1000</t>
        </is>
      </c>
      <c r="AE2" s="16" t="inlineStr">
        <is>
          <t>1000,01 - 1500</t>
        </is>
      </c>
      <c r="AF2" s="16" t="inlineStr">
        <is>
          <t>1500,01 - 2000</t>
        </is>
      </c>
      <c r="AG2" s="16" t="inlineStr">
        <is>
          <t>2000,01 - 3000</t>
        </is>
      </c>
      <c r="AH2" s="16" t="inlineStr">
        <is>
          <t>3000,01 - 5000</t>
        </is>
      </c>
      <c r="AI2" s="16" t="inlineStr">
        <is>
          <t>5000,01 - 6000</t>
        </is>
      </c>
      <c r="AJ2" s="16" t="inlineStr">
        <is>
          <t>6000,01 - 8000</t>
        </is>
      </c>
      <c r="AK2" s="16" t="inlineStr">
        <is>
          <t>8000,01 - 10000</t>
        </is>
      </c>
      <c r="AL2" s="16" t="inlineStr">
        <is>
          <t>10000,01 - 20000</t>
        </is>
      </c>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31" t="n"/>
      <c r="B3" s="31" t="n"/>
      <c r="C3" s="6" t="inlineStr">
        <is>
          <t>до 5 кг</t>
        </is>
      </c>
      <c r="D3" s="6" t="inlineStr">
        <is>
          <t>до 20 кг</t>
        </is>
      </c>
      <c r="E3" s="6" t="inlineStr">
        <is>
          <t>до 40 кг</t>
        </is>
      </c>
      <c r="F3" s="6" t="inlineStr">
        <is>
          <t>от</t>
        </is>
      </c>
      <c r="G3" s="6" t="inlineStr">
        <is>
          <t>2000-</t>
        </is>
      </c>
      <c r="H3" s="6" t="inlineStr">
        <is>
          <t>1000-</t>
        </is>
      </c>
      <c r="I3" s="6" t="inlineStr">
        <is>
          <t>500-</t>
        </is>
      </c>
      <c r="J3" s="6" t="inlineStr">
        <is>
          <t>200-</t>
        </is>
      </c>
      <c r="K3" s="6" t="inlineStr">
        <is>
          <t>100-</t>
        </is>
      </c>
      <c r="L3" s="6" t="n">
        <v>41</v>
      </c>
      <c r="M3" s="11" t="inlineStr">
        <is>
          <t>от</t>
        </is>
      </c>
      <c r="N3" s="11" t="inlineStr">
        <is>
          <t>10-</t>
        </is>
      </c>
      <c r="O3" s="11" t="inlineStr">
        <is>
          <t>5-</t>
        </is>
      </c>
      <c r="P3" s="11" t="inlineStr">
        <is>
          <t>3-</t>
        </is>
      </c>
      <c r="Q3" s="11" t="inlineStr">
        <is>
          <t>1-</t>
        </is>
      </c>
      <c r="R3" s="11" t="inlineStr">
        <is>
          <t>0,2-</t>
        </is>
      </c>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6" t="inlineStr">
        <is>
          <t>до 0,03 м3</t>
        </is>
      </c>
      <c r="D4" s="6" t="inlineStr">
        <is>
          <t xml:space="preserve"> до 0,1 м3</t>
        </is>
      </c>
      <c r="E4" s="6" t="inlineStr">
        <is>
          <t>до 0,19 м3</t>
        </is>
      </c>
      <c r="F4" s="6" t="n">
        <v>3000</v>
      </c>
      <c r="G4" s="6" t="n">
        <v>2999</v>
      </c>
      <c r="H4" s="6" t="n">
        <v>1999</v>
      </c>
      <c r="I4" s="6" t="n">
        <v>999</v>
      </c>
      <c r="J4" s="6" t="n">
        <v>499</v>
      </c>
      <c r="K4" s="6" t="n">
        <v>199</v>
      </c>
      <c r="L4" s="6" t="n">
        <v>99</v>
      </c>
      <c r="M4" s="11" t="n">
        <v>15</v>
      </c>
      <c r="N4" s="11" t="n">
        <v>14.9</v>
      </c>
      <c r="O4" s="11" t="n">
        <v>9.9</v>
      </c>
      <c r="P4" s="11" t="n">
        <v>4.9</v>
      </c>
      <c r="Q4" s="11" t="n">
        <v>2.9</v>
      </c>
      <c r="R4" s="11" t="n">
        <v>0.99</v>
      </c>
      <c r="S4" s="31" t="n"/>
      <c r="T4" s="16" t="inlineStr">
        <is>
          <t>Объем ( м3 )</t>
        </is>
      </c>
      <c r="U4" s="31" t="n"/>
      <c r="V4" s="16" t="inlineStr">
        <is>
          <t>0 - 0,1</t>
        </is>
      </c>
      <c r="W4" s="16" t="inlineStr">
        <is>
          <t>0,11 - 0,15</t>
        </is>
      </c>
      <c r="X4" s="16" t="inlineStr">
        <is>
          <t>0,16 - 0,19</t>
        </is>
      </c>
      <c r="Y4" s="16" t="inlineStr">
        <is>
          <t>0,2 - 0,8</t>
        </is>
      </c>
      <c r="Z4" s="16" t="inlineStr">
        <is>
          <t>0.81 - 1,8</t>
        </is>
      </c>
      <c r="AA4" s="16" t="inlineStr">
        <is>
          <t>1,81 - 2,5</t>
        </is>
      </c>
      <c r="AB4" s="16" t="inlineStr">
        <is>
          <t>2,51 - 3</t>
        </is>
      </c>
      <c r="AC4" s="16" t="inlineStr">
        <is>
          <t>3,01 - 4,99</t>
        </is>
      </c>
      <c r="AD4" s="16" t="inlineStr">
        <is>
          <t>5 - 5,99</t>
        </is>
      </c>
      <c r="AE4" s="16" t="inlineStr">
        <is>
          <t>6 - 7,95</t>
        </is>
      </c>
      <c r="AF4" s="16" t="inlineStr">
        <is>
          <t>7,96 - 10</t>
        </is>
      </c>
      <c r="AG4" s="16" t="inlineStr">
        <is>
          <t>10,01 - 11,99</t>
        </is>
      </c>
      <c r="AH4" s="16" t="inlineStr">
        <is>
          <t>12 - 14,99</t>
        </is>
      </c>
      <c r="AI4" s="16" t="inlineStr">
        <is>
          <t>15 - 19,99</t>
        </is>
      </c>
      <c r="AJ4" s="16" t="inlineStr">
        <is>
          <t>20 - 22</t>
        </is>
      </c>
      <c r="AK4" s="16" t="inlineStr">
        <is>
          <t>22,01 - 34,99</t>
        </is>
      </c>
      <c r="AL4" s="16" t="inlineStr">
        <is>
          <t>35 - 82</t>
        </is>
      </c>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row r="7">
      <c r="A7" s="31" t="inlineStr">
        <is>
          <t>Исторические и исходные объёмные тарифы не загружены. Текущие веса — на листе WernerNEW.</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row>
  </sheetData>
  <mergeCells count="5">
    <mergeCell ref="M1:R2"/>
    <mergeCell ref="F1:L2"/>
    <mergeCell ref="A1:A4"/>
    <mergeCell ref="B1:B4"/>
    <mergeCell ref="C1:E2"/>
  </mergeCells>
  <pageMargins left="0.7" right="0.7" top="0.75" bottom="0.75" header="0.3" footer="0.3"/>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K7"/>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6" t="inlineStr">
        <is>
          <t>Пункт отправления</t>
        </is>
      </c>
      <c r="B1" s="6" t="inlineStr">
        <is>
          <t>Пункт назначения</t>
        </is>
      </c>
      <c r="C1" s="6" t="inlineStr">
        <is>
          <t>Фиксированные тарифы</t>
        </is>
      </c>
      <c r="F1" s="6" t="inlineStr">
        <is>
          <t>Вес (кг)</t>
        </is>
      </c>
      <c r="M1" s="11" t="inlineStr">
        <is>
          <t>Объём (м³)</t>
        </is>
      </c>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31" t="n"/>
      <c r="B2" s="31" t="n"/>
      <c r="C2" s="31" t="n"/>
      <c r="D2" s="31" t="n"/>
      <c r="E2" s="31" t="n"/>
      <c r="F2" s="31" t="n"/>
      <c r="G2" s="31" t="n"/>
      <c r="H2" s="31" t="n"/>
      <c r="I2" s="31" t="n"/>
      <c r="J2" s="31" t="n"/>
      <c r="K2" s="31" t="n"/>
      <c r="L2" s="31" t="n"/>
      <c r="M2" s="31" t="n"/>
      <c r="N2" s="31" t="n"/>
      <c r="O2" s="31" t="n"/>
      <c r="P2" s="31" t="n"/>
      <c r="Q2" s="31" t="n"/>
      <c r="R2" s="31" t="n"/>
      <c r="S2" s="1" t="n"/>
      <c r="T2" s="16" t="inlineStr">
        <is>
          <t>Вес ( кг )</t>
        </is>
      </c>
      <c r="U2" s="16" t="inlineStr">
        <is>
          <t>Услуга</t>
        </is>
      </c>
      <c r="V2" s="16" t="inlineStr">
        <is>
          <t>0 - 5</t>
        </is>
      </c>
      <c r="W2" s="16" t="inlineStr">
        <is>
          <t>5,01 - 20</t>
        </is>
      </c>
      <c r="X2" s="16" t="inlineStr">
        <is>
          <t>20,01 - 41</t>
        </is>
      </c>
      <c r="Y2" s="16" t="inlineStr">
        <is>
          <t>41,01 -100</t>
        </is>
      </c>
      <c r="Z2" s="16" t="inlineStr">
        <is>
          <t>100,01 - 300</t>
        </is>
      </c>
      <c r="AA2" s="16" t="inlineStr">
        <is>
          <t>300,01 - 500</t>
        </is>
      </c>
      <c r="AB2" s="16" t="inlineStr">
        <is>
          <t>500,01 - 650</t>
        </is>
      </c>
      <c r="AC2" s="16" t="inlineStr">
        <is>
          <t>650,001 - 800</t>
        </is>
      </c>
      <c r="AD2" s="16" t="inlineStr">
        <is>
          <t>800,01 - 1000</t>
        </is>
      </c>
      <c r="AE2" s="16" t="inlineStr">
        <is>
          <t>1000,01 - 1500</t>
        </is>
      </c>
      <c r="AF2" s="16" t="inlineStr">
        <is>
          <t>1500,01 - 2000</t>
        </is>
      </c>
      <c r="AG2" s="16" t="inlineStr">
        <is>
          <t>2000,01 - 3000</t>
        </is>
      </c>
      <c r="AH2" s="16" t="inlineStr">
        <is>
          <t>3000,01 - 5000</t>
        </is>
      </c>
      <c r="AI2" s="16" t="inlineStr">
        <is>
          <t>5000,01 - 6000</t>
        </is>
      </c>
      <c r="AJ2" s="16" t="inlineStr">
        <is>
          <t>6000,01 - 8000</t>
        </is>
      </c>
      <c r="AK2" s="16" t="inlineStr">
        <is>
          <t>8000,01 - 10000</t>
        </is>
      </c>
      <c r="AL2" s="16" t="inlineStr">
        <is>
          <t>10000,01 - 20000</t>
        </is>
      </c>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31" t="n"/>
      <c r="B3" s="31" t="n"/>
      <c r="C3" s="6" t="inlineStr">
        <is>
          <t>до 5 кг</t>
        </is>
      </c>
      <c r="D3" s="6" t="inlineStr">
        <is>
          <t>до 20 кг</t>
        </is>
      </c>
      <c r="E3" s="6" t="inlineStr">
        <is>
          <t>до 40 кг</t>
        </is>
      </c>
      <c r="F3" s="6" t="inlineStr">
        <is>
          <t>от</t>
        </is>
      </c>
      <c r="G3" s="6" t="inlineStr">
        <is>
          <t>2000-</t>
        </is>
      </c>
      <c r="H3" s="6" t="inlineStr">
        <is>
          <t>1000-</t>
        </is>
      </c>
      <c r="I3" s="6" t="inlineStr">
        <is>
          <t>500-</t>
        </is>
      </c>
      <c r="J3" s="6" t="inlineStr">
        <is>
          <t>200-</t>
        </is>
      </c>
      <c r="K3" s="6" t="inlineStr">
        <is>
          <t>100-</t>
        </is>
      </c>
      <c r="L3" s="6" t="n">
        <v>41</v>
      </c>
      <c r="M3" s="11" t="inlineStr">
        <is>
          <t>от</t>
        </is>
      </c>
      <c r="N3" s="11" t="inlineStr">
        <is>
          <t>10-</t>
        </is>
      </c>
      <c r="O3" s="11" t="inlineStr">
        <is>
          <t>5-</t>
        </is>
      </c>
      <c r="P3" s="11" t="inlineStr">
        <is>
          <t>3-</t>
        </is>
      </c>
      <c r="Q3" s="11" t="inlineStr">
        <is>
          <t>1-</t>
        </is>
      </c>
      <c r="R3" s="11" t="inlineStr">
        <is>
          <t>0,2-</t>
        </is>
      </c>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6" t="inlineStr">
        <is>
          <t>до 0,03 м3</t>
        </is>
      </c>
      <c r="D4" s="6" t="inlineStr">
        <is>
          <t xml:space="preserve"> до 0,1 м3</t>
        </is>
      </c>
      <c r="E4" s="6" t="inlineStr">
        <is>
          <t>до 0,19 м3</t>
        </is>
      </c>
      <c r="F4" s="6" t="n">
        <v>3000</v>
      </c>
      <c r="G4" s="6" t="n">
        <v>2999</v>
      </c>
      <c r="H4" s="6" t="n">
        <v>1999</v>
      </c>
      <c r="I4" s="6" t="n">
        <v>999</v>
      </c>
      <c r="J4" s="6" t="n">
        <v>499</v>
      </c>
      <c r="K4" s="6" t="n">
        <v>199</v>
      </c>
      <c r="L4" s="6" t="n">
        <v>99</v>
      </c>
      <c r="M4" s="11" t="n">
        <v>15</v>
      </c>
      <c r="N4" s="11" t="n">
        <v>14.9</v>
      </c>
      <c r="O4" s="11" t="n">
        <v>9.9</v>
      </c>
      <c r="P4" s="11" t="n">
        <v>4.9</v>
      </c>
      <c r="Q4" s="11" t="n">
        <v>2.9</v>
      </c>
      <c r="R4" s="11" t="n">
        <v>0.99</v>
      </c>
      <c r="S4" s="31" t="n"/>
      <c r="T4" s="16" t="inlineStr">
        <is>
          <t>Объем ( м3 )</t>
        </is>
      </c>
      <c r="U4" s="31" t="n"/>
      <c r="V4" s="16" t="inlineStr">
        <is>
          <t>0 - 0,1</t>
        </is>
      </c>
      <c r="W4" s="16" t="inlineStr">
        <is>
          <t>0,11 - 0,15</t>
        </is>
      </c>
      <c r="X4" s="16" t="inlineStr">
        <is>
          <t>0,16 - 0,19</t>
        </is>
      </c>
      <c r="Y4" s="16" t="inlineStr">
        <is>
          <t>0,2 - 0,8</t>
        </is>
      </c>
      <c r="Z4" s="16" t="inlineStr">
        <is>
          <t>0.81 - 1,8</t>
        </is>
      </c>
      <c r="AA4" s="16" t="inlineStr">
        <is>
          <t>1,81 - 2,5</t>
        </is>
      </c>
      <c r="AB4" s="16" t="inlineStr">
        <is>
          <t>2,51 - 3</t>
        </is>
      </c>
      <c r="AC4" s="16" t="inlineStr">
        <is>
          <t>3,01 - 4,99</t>
        </is>
      </c>
      <c r="AD4" s="16" t="inlineStr">
        <is>
          <t>5 - 5,99</t>
        </is>
      </c>
      <c r="AE4" s="16" t="inlineStr">
        <is>
          <t>6 - 7,95</t>
        </is>
      </c>
      <c r="AF4" s="16" t="inlineStr">
        <is>
          <t>7,96 - 10</t>
        </is>
      </c>
      <c r="AG4" s="16" t="inlineStr">
        <is>
          <t>10,01 - 11,99</t>
        </is>
      </c>
      <c r="AH4" s="16" t="inlineStr">
        <is>
          <t>12 - 14,99</t>
        </is>
      </c>
      <c r="AI4" s="16" t="inlineStr">
        <is>
          <t>15 - 19,99</t>
        </is>
      </c>
      <c r="AJ4" s="16" t="inlineStr">
        <is>
          <t>20 - 22</t>
        </is>
      </c>
      <c r="AK4" s="16" t="inlineStr">
        <is>
          <t>22,01 - 34,99</t>
        </is>
      </c>
      <c r="AL4" s="16" t="inlineStr">
        <is>
          <t>35 - 82</t>
        </is>
      </c>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row r="7">
      <c r="A7" s="31" t="inlineStr">
        <is>
          <t>Исторические и исходные объёмные тарифы не загружены. Текущие веса — на листе WernerNEW.</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row>
  </sheetData>
  <mergeCells count="5">
    <mergeCell ref="M1:R2"/>
    <mergeCell ref="F1:L2"/>
    <mergeCell ref="A1:A4"/>
    <mergeCell ref="B1:B4"/>
    <mergeCell ref="C1:E2"/>
  </mergeCells>
  <pageMargins left="0.7" right="0.7" top="0.75" bottom="0.75" header="0.3" footer="0.3"/>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BK7"/>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6" t="inlineStr">
        <is>
          <t>Пункт отправления</t>
        </is>
      </c>
      <c r="B1" s="6" t="inlineStr">
        <is>
          <t>Пункт назначения</t>
        </is>
      </c>
      <c r="C1" s="6" t="inlineStr">
        <is>
          <t>Фиксированные тарифы</t>
        </is>
      </c>
      <c r="F1" s="6" t="inlineStr">
        <is>
          <t>Вес (кг)</t>
        </is>
      </c>
      <c r="M1" s="11" t="inlineStr">
        <is>
          <t>Объём (м³)</t>
        </is>
      </c>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31" t="n"/>
      <c r="B2" s="31" t="n"/>
      <c r="C2" s="31" t="n"/>
      <c r="D2" s="31" t="n"/>
      <c r="E2" s="31" t="n"/>
      <c r="F2" s="31" t="n"/>
      <c r="G2" s="31" t="n"/>
      <c r="H2" s="31" t="n"/>
      <c r="I2" s="31" t="n"/>
      <c r="J2" s="31" t="n"/>
      <c r="K2" s="31" t="n"/>
      <c r="L2" s="31" t="n"/>
      <c r="M2" s="31" t="n"/>
      <c r="N2" s="31" t="n"/>
      <c r="O2" s="31" t="n"/>
      <c r="P2" s="31" t="n"/>
      <c r="Q2" s="31" t="n"/>
      <c r="R2" s="31" t="n"/>
      <c r="S2" s="1" t="n"/>
      <c r="T2" s="16" t="inlineStr">
        <is>
          <t>Вес ( кг )</t>
        </is>
      </c>
      <c r="U2" s="16" t="inlineStr">
        <is>
          <t>Услуга</t>
        </is>
      </c>
      <c r="V2" s="16" t="inlineStr">
        <is>
          <t>0 - 5</t>
        </is>
      </c>
      <c r="W2" s="16" t="inlineStr">
        <is>
          <t>5,01 - 20</t>
        </is>
      </c>
      <c r="X2" s="16" t="inlineStr">
        <is>
          <t>20,01 - 41</t>
        </is>
      </c>
      <c r="Y2" s="16" t="inlineStr">
        <is>
          <t>41,01 -100</t>
        </is>
      </c>
      <c r="Z2" s="16" t="inlineStr">
        <is>
          <t>100,01 - 300</t>
        </is>
      </c>
      <c r="AA2" s="16" t="inlineStr">
        <is>
          <t>300,01 - 500</t>
        </is>
      </c>
      <c r="AB2" s="16" t="inlineStr">
        <is>
          <t>500,01 - 650</t>
        </is>
      </c>
      <c r="AC2" s="16" t="inlineStr">
        <is>
          <t>650,001 - 800</t>
        </is>
      </c>
      <c r="AD2" s="16" t="inlineStr">
        <is>
          <t>800,01 - 1000</t>
        </is>
      </c>
      <c r="AE2" s="16" t="inlineStr">
        <is>
          <t>1000,01 - 1500</t>
        </is>
      </c>
      <c r="AF2" s="16" t="inlineStr">
        <is>
          <t>1500,01 - 2000</t>
        </is>
      </c>
      <c r="AG2" s="16" t="inlineStr">
        <is>
          <t>2000,01 - 3000</t>
        </is>
      </c>
      <c r="AH2" s="16" t="inlineStr">
        <is>
          <t>3000,01 - 5000</t>
        </is>
      </c>
      <c r="AI2" s="16" t="inlineStr">
        <is>
          <t>5000,01 - 6000</t>
        </is>
      </c>
      <c r="AJ2" s="16" t="inlineStr">
        <is>
          <t>6000,01 - 8000</t>
        </is>
      </c>
      <c r="AK2" s="16" t="inlineStr">
        <is>
          <t>8000,01 - 10000</t>
        </is>
      </c>
      <c r="AL2" s="16" t="inlineStr">
        <is>
          <t>10000,01 - 20000</t>
        </is>
      </c>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31" t="n"/>
      <c r="B3" s="31" t="n"/>
      <c r="C3" s="6" t="inlineStr">
        <is>
          <t>до 5 кг</t>
        </is>
      </c>
      <c r="D3" s="6" t="inlineStr">
        <is>
          <t>до 20 кг</t>
        </is>
      </c>
      <c r="E3" s="6" t="inlineStr">
        <is>
          <t>до 40 кг</t>
        </is>
      </c>
      <c r="F3" s="6" t="inlineStr">
        <is>
          <t>от</t>
        </is>
      </c>
      <c r="G3" s="6" t="inlineStr">
        <is>
          <t>2000-</t>
        </is>
      </c>
      <c r="H3" s="6" t="inlineStr">
        <is>
          <t>1000-</t>
        </is>
      </c>
      <c r="I3" s="6" t="inlineStr">
        <is>
          <t>500-</t>
        </is>
      </c>
      <c r="J3" s="6" t="inlineStr">
        <is>
          <t>200-</t>
        </is>
      </c>
      <c r="K3" s="6" t="inlineStr">
        <is>
          <t>100-</t>
        </is>
      </c>
      <c r="L3" s="6" t="n">
        <v>41</v>
      </c>
      <c r="M3" s="11" t="inlineStr">
        <is>
          <t>от</t>
        </is>
      </c>
      <c r="N3" s="11" t="inlineStr">
        <is>
          <t>10-</t>
        </is>
      </c>
      <c r="O3" s="11" t="inlineStr">
        <is>
          <t>5-</t>
        </is>
      </c>
      <c r="P3" s="11" t="inlineStr">
        <is>
          <t>3-</t>
        </is>
      </c>
      <c r="Q3" s="11" t="inlineStr">
        <is>
          <t>1-</t>
        </is>
      </c>
      <c r="R3" s="11" t="inlineStr">
        <is>
          <t>0,2-</t>
        </is>
      </c>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6" t="inlineStr">
        <is>
          <t>до 0,03 м3</t>
        </is>
      </c>
      <c r="D4" s="6" t="inlineStr">
        <is>
          <t xml:space="preserve"> до 0,1 м3</t>
        </is>
      </c>
      <c r="E4" s="6" t="inlineStr">
        <is>
          <t>до 0,19 м3</t>
        </is>
      </c>
      <c r="F4" s="6" t="n">
        <v>3000</v>
      </c>
      <c r="G4" s="6" t="n">
        <v>2999</v>
      </c>
      <c r="H4" s="6" t="n">
        <v>1999</v>
      </c>
      <c r="I4" s="6" t="n">
        <v>999</v>
      </c>
      <c r="J4" s="6" t="n">
        <v>499</v>
      </c>
      <c r="K4" s="6" t="n">
        <v>199</v>
      </c>
      <c r="L4" s="6" t="n">
        <v>99</v>
      </c>
      <c r="M4" s="11" t="n">
        <v>15</v>
      </c>
      <c r="N4" s="11" t="n">
        <v>14.9</v>
      </c>
      <c r="O4" s="11" t="n">
        <v>9.9</v>
      </c>
      <c r="P4" s="11" t="n">
        <v>4.9</v>
      </c>
      <c r="Q4" s="11" t="n">
        <v>2.9</v>
      </c>
      <c r="R4" s="11" t="n">
        <v>0.99</v>
      </c>
      <c r="S4" s="31" t="n"/>
      <c r="T4" s="16" t="inlineStr">
        <is>
          <t>Объем ( м3 )</t>
        </is>
      </c>
      <c r="U4" s="31" t="n"/>
      <c r="V4" s="16" t="inlineStr">
        <is>
          <t>0 - 0,1</t>
        </is>
      </c>
      <c r="W4" s="16" t="inlineStr">
        <is>
          <t>0,11 - 0,15</t>
        </is>
      </c>
      <c r="X4" s="16" t="inlineStr">
        <is>
          <t>0,16 - 0,19</t>
        </is>
      </c>
      <c r="Y4" s="16" t="inlineStr">
        <is>
          <t>0,2 - 0,8</t>
        </is>
      </c>
      <c r="Z4" s="16" t="inlineStr">
        <is>
          <t>0.81 - 1,8</t>
        </is>
      </c>
      <c r="AA4" s="16" t="inlineStr">
        <is>
          <t>1,81 - 2,5</t>
        </is>
      </c>
      <c r="AB4" s="16" t="inlineStr">
        <is>
          <t>2,51 - 3</t>
        </is>
      </c>
      <c r="AC4" s="16" t="inlineStr">
        <is>
          <t>3,01 - 4,99</t>
        </is>
      </c>
      <c r="AD4" s="16" t="inlineStr">
        <is>
          <t>5 - 5,99</t>
        </is>
      </c>
      <c r="AE4" s="16" t="inlineStr">
        <is>
          <t>6 - 7,95</t>
        </is>
      </c>
      <c r="AF4" s="16" t="inlineStr">
        <is>
          <t>7,96 - 10</t>
        </is>
      </c>
      <c r="AG4" s="16" t="inlineStr">
        <is>
          <t>10,01 - 11,99</t>
        </is>
      </c>
      <c r="AH4" s="16" t="inlineStr">
        <is>
          <t>12 - 14,99</t>
        </is>
      </c>
      <c r="AI4" s="16" t="inlineStr">
        <is>
          <t>15 - 19,99</t>
        </is>
      </c>
      <c r="AJ4" s="16" t="inlineStr">
        <is>
          <t>20 - 22</t>
        </is>
      </c>
      <c r="AK4" s="16" t="inlineStr">
        <is>
          <t>22,01 - 34,99</t>
        </is>
      </c>
      <c r="AL4" s="16" t="inlineStr">
        <is>
          <t>35 - 82</t>
        </is>
      </c>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row r="7">
      <c r="A7" s="31" t="inlineStr">
        <is>
          <t>Исторические и исходные объёмные тарифы не загружены. Текущие веса — на листе WernerNEW.</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row>
  </sheetData>
  <mergeCells count="5">
    <mergeCell ref="M1:R2"/>
    <mergeCell ref="F1:L2"/>
    <mergeCell ref="A1:A4"/>
    <mergeCell ref="B1:B4"/>
    <mergeCell ref="C1:E2"/>
  </mergeCells>
  <pageMargins left="0.7" right="0.7" top="0.75" bottom="0.75" header="0.3" footer="0.3"/>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K7"/>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row r="7">
      <c r="A7" s="31" t="inlineStr">
        <is>
          <t>Исторические и исходные объёмные тарифы не загружены. Текущие веса — на листе WernerNEW.</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row>
  </sheetData>
  <pageMargins left="0.7" right="0.7" top="0.75" bottom="0.75" header="0.3" footer="0.3"/>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K3"/>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 t="inlineStr">
        <is>
          <t>№</t>
        </is>
      </c>
      <c r="B1" s="1" t="inlineStr">
        <is>
          <t>Из</t>
        </is>
      </c>
      <c r="C1" s="1" t="inlineStr">
        <is>
          <t>В</t>
        </is>
      </c>
      <c r="D1" s="1" t="inlineStr">
        <is>
          <t>Маршрут</t>
        </is>
      </c>
      <c r="E1" s="1" t="inlineStr">
        <is>
          <t>Строка</t>
        </is>
      </c>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1" t="n">
        <v>1</v>
      </c>
      <c r="B2" s="1" t="inlineStr">
        <is>
          <t>Москва</t>
        </is>
      </c>
      <c r="C2" s="1" t="inlineStr">
        <is>
          <t>Санкт-Петербург</t>
        </is>
      </c>
      <c r="D2" s="1" t="inlineStr">
        <is>
          <t>Москва → Санкт-Петербург</t>
        </is>
      </c>
      <c r="E2" s="1" t="n">
        <v>2</v>
      </c>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sheetData>
  <pageMargins left="0.7" right="0.7" top="0.75" bottom="0.75" header="0.3" footer="0.3"/>
  <pageSetup orientation="landscape" paperSize="8" fitToHeight="0" fitToWidth="1"/>
</worksheet>
</file>

<file path=xl/worksheets/sheet6.xml><?xml version="1.0" encoding="utf-8"?>
<ns0:worksheet xmlns:ns0="http://schemas.openxmlformats.org/spreadsheetml/2006/main">
  <ns0:sheetPr>
    <ns0:outlinePr summaryBelow="1" summaryRight="1"/>
    <ns0:pageSetUpPr fitToPage="1"/>
  </ns0:sheetPr>
  <ns0:dimension ref="A1:BK37"/>
  <ns0:sheetViews>
    <ns0:sheetView showGridLines="0" workbookViewId="0">
      <ns0:pane xSplit="3" ySplit="3" topLeftCell="D4" activePane="bottomRight" state="frozen"/>
      <ns0:selection pane="topRight"/>
      <ns0:selection pane="bottomLeft"/>
      <ns0:selection pane="bottomRight" activeCell="A1" sqref="A1"/>
    </ns0:sheetView>
  </ns0:sheetViews>
  <ns0:sheetFormatPr baseColWidth="8" defaultRowHeight="15"/>
  <ns0:cols>
    <ns0:col width="22" customWidth="1" min="1" max="1"/>
    <ns0:col width="22" customWidth="1" min="2" max="2"/>
    <ns0:col width="22" customWidth="1" min="3" max="3"/>
    <ns0:col width="11" customWidth="1" min="4" max="4"/>
    <ns0:col width="11" customWidth="1" min="5" max="5"/>
    <ns0:col width="11" customWidth="1" min="6" max="6"/>
    <ns0:col width="11" customWidth="1" min="7" max="7"/>
    <ns0:col width="11" customWidth="1" min="8" max="8"/>
    <ns0:col width="11" customWidth="1" min="9" max="9"/>
    <ns0:col width="11" customWidth="1" min="10" max="10"/>
    <ns0:col width="11" customWidth="1" min="11" max="11"/>
    <ns0:col width="11" customWidth="1" min="12" max="12"/>
    <ns0:col width="11" customWidth="1" min="13" max="13"/>
    <ns0:col width="11" customWidth="1" min="14" max="14"/>
    <ns0:col width="11" customWidth="1" min="15" max="15"/>
    <ns0:col width="11" customWidth="1" min="16" max="16"/>
    <ns0:col width="11" customWidth="1" min="17" max="17"/>
    <ns0:col width="11" customWidth="1" min="18" max="18"/>
    <ns0:col width="11" customWidth="1" min="19" max="19"/>
    <ns0:col width="11" customWidth="1" min="20" max="20"/>
    <ns0:col width="11" customWidth="1" min="21" max="21"/>
    <ns0:col width="11" customWidth="1" min="22" max="22"/>
    <ns0:col width="11" customWidth="1" min="23" max="23"/>
    <ns0:col width="11" customWidth="1" min="24" max="24"/>
    <ns0:col width="11" customWidth="1" min="25" max="25"/>
    <ns0:col width="11" customWidth="1" min="26" max="26"/>
    <ns0:col width="11" customWidth="1" min="27" max="27"/>
    <ns0:col width="11" customWidth="1" min="28" max="28"/>
    <ns0:col width="11" customWidth="1" min="29" max="29"/>
    <ns0:col width="11" customWidth="1" min="30" max="30"/>
    <ns0:col width="11" customWidth="1" min="31" max="31"/>
    <ns0:col width="11" customWidth="1" min="32" max="32"/>
    <ns0:col width="11" customWidth="1" min="33" max="33"/>
    <ns0:col width="11" customWidth="1" min="34" max="34"/>
    <ns0:col width="11" customWidth="1" min="35" max="35"/>
    <ns0:col width="11" customWidth="1" min="36" max="36"/>
    <ns0:col width="11" customWidth="1" min="37" max="37"/>
    <ns0:col width="11" customWidth="1" min="38" max="38"/>
    <ns0:col width="11" customWidth="1" min="39" max="39"/>
    <ns0:col width="11" customWidth="1" min="40" max="40"/>
    <ns0:col width="11" customWidth="1" min="41" max="41"/>
    <ns0:col width="11" customWidth="1" min="42" max="42"/>
    <ns0:col width="11" customWidth="1" min="43" max="43"/>
    <ns0:col width="11" customWidth="1" min="44" max="44"/>
    <ns0:col width="11" customWidth="1" min="45" max="45"/>
    <ns0:col width="11" customWidth="1" min="46" max="46"/>
    <ns0:col width="11" customWidth="1" min="47" max="47"/>
    <ns0:col width="11" customWidth="1" min="48" max="48"/>
    <ns0:col width="11" customWidth="1" min="49" max="49"/>
    <ns0:col width="11" customWidth="1" min="50" max="50"/>
    <ns0:col width="11" customWidth="1" min="51" max="51"/>
    <ns0:col width="11" customWidth="1" min="52" max="52"/>
    <ns0:col width="11" customWidth="1" min="53" max="53"/>
    <ns0:col width="11" customWidth="1" min="54" max="54"/>
    <ns0:col width="11" customWidth="1" min="55" max="55"/>
    <ns0:col width="11" customWidth="1" min="56" max="56"/>
    <ns0:col width="11" customWidth="1" min="57" max="57"/>
    <ns0:col width="11" customWidth="1" min="58" max="58"/>
    <ns0:col width="11" customWidth="1" min="59" max="59"/>
    <ns0:col width="11" customWidth="1" min="60" max="60"/>
    <ns0:col width="11" customWidth="1" min="61" max="61"/>
    <ns0:col width="11" customWidth="1" min="62" max="62"/>
    <ns0:col width="11" customWidth="1" min="63" max="63"/>
  </ns0:cols>
  <ns0:sheetData>
    <ns0:row r="1">
      <ns0:c r="A1" s="1" t="n"/>
      <ns0:c r="B1" s="1" t="n"/>
      <ns0:c r="C1" s="1" t="str">
        <ns0:f>'Графики'!B16&amp;" → "&amp;'Графики'!F16</ns0:f>
        <ns0:v>Москва → Санкт-Петербург</ns0:v>
      </ns0:c>
      <ns0:c r="D1" s="1" t="n"/>
      <ns0:c r="E1" s="1" t="n"/>
      <ns0:c r="F1" s="1" t="n"/>
      <ns0:c r="G1" s="1">
        <ns0:f>IF(COUNTIF('склейка'!D2:D2,C1)=0,"",MATCH(C1,'склейка'!D2:D2,0)+1)</ns0:f>
        <ns0:v>2</ns0:v>
      </ns0:c>
      <ns0:c r="H1" s="1" t="n"/>
      <ns0:c r="I1" s="1" t="n"/>
      <ns0:c r="J1" s="1" t="n"/>
      <ns0:c r="K1" s="1" t="n"/>
      <ns0:c r="L1" s="1" t="n"/>
      <ns0:c r="M1" s="1" t="n"/>
      <ns0:c r="N1" s="1" t="n"/>
      <ns0:c r="O1" s="1" t="n"/>
      <ns0:c r="P1" s="1" t="n"/>
      <ns0:c r="Q1" s="1" t="n"/>
      <ns0:c r="R1" s="1" t="n"/>
      <ns0:c r="S1" s="1" t="n"/>
      <ns0:c r="T1" s="1" t="n"/>
      <ns0:c r="U1" s="1" t="n"/>
      <ns0:c r="V1" s="1" t="n"/>
      <ns0:c r="W1" s="1" t="n"/>
      <ns0:c r="X1" s="1" t="n"/>
      <ns0:c r="Y1" s="1" t="n"/>
      <ns0:c r="Z1" s="1" t="n"/>
      <ns0:c r="AA1" s="1" t="n"/>
      <ns0:c r="AB1" s="1" t="n"/>
      <ns0:c r="AC1" s="1" t="n"/>
      <ns0:c r="AD1" s="1" t="n"/>
      <ns0:c r="AE1" s="1" t="n"/>
      <ns0:c r="AF1" s="1" t="n"/>
      <ns0:c r="AG1" s="1" t="n"/>
      <ns0:c r="AH1" s="1" t="n"/>
      <ns0:c r="AI1" s="1" t="n"/>
      <ns0:c r="AJ1" s="1" t="n"/>
      <ns0:c r="AK1" s="1" t="n"/>
      <ns0:c r="AL1" s="1" t="n"/>
      <ns0:c r="AM1" s="1" t="n"/>
      <ns0:c r="AN1" s="1" t="n"/>
      <ns0:c r="AO1" s="1" t="n"/>
      <ns0:c r="AP1" s="1" t="n"/>
      <ns0:c r="AQ1" s="1" t="n"/>
      <ns0:c r="AR1" s="1" t="n"/>
      <ns0:c r="AS1" s="1" t="n"/>
      <ns0:c r="AT1" s="1" t="n"/>
      <ns0:c r="AU1" s="1" t="n"/>
      <ns0:c r="AV1" s="1" t="n"/>
      <ns0:c r="AW1" s="1" t="n"/>
      <ns0:c r="AX1" s="1" t="n"/>
      <ns0:c r="AY1" s="1" t="n"/>
      <ns0:c r="AZ1" s="1" t="n"/>
      <ns0:c r="BA1" s="1" t="n"/>
      <ns0:c r="BB1" s="1" t="n"/>
      <ns0:c r="BC1" s="1" t="n"/>
      <ns0:c r="BD1" s="1" t="n"/>
      <ns0:c r="BE1" s="1" t="n"/>
      <ns0:c r="BF1" s="1" t="n"/>
      <ns0:c r="BG1" s="1" t="n"/>
      <ns0:c r="BH1" s="1" t="n"/>
      <ns0:c r="BI1" s="1" t="n"/>
      <ns0:c r="BJ1" s="1" t="n"/>
      <ns0:c r="BK1" s="1" t="n"/>
    </ns0:row>
    <ns0:row r="2">
      <ns0:c r="A2" s="1" t="n"/>
      <ns0:c r="B2" s="1" t="n"/>
      <ns0:c r="C2" s="1" t="n"/>
      <ns0:c r="D2" s="1" t="n"/>
      <ns0:c r="E2" s="1" t="n"/>
      <ns0:c r="F2" s="1" t="n"/>
      <ns0:c r="G2" s="1" t="n"/>
      <ns0:c r="H2" s="1" t="n"/>
      <ns0:c r="I2" s="1" t="n"/>
      <ns0:c r="J2" s="1" t="n"/>
      <ns0:c r="K2" s="1" t="n"/>
      <ns0:c r="L2" s="1" t="n"/>
      <ns0:c r="M2" s="1" t="n"/>
      <ns0:c r="N2" s="1" t="n"/>
      <ns0:c r="O2" s="1" t="n"/>
      <ns0:c r="P2" s="1" t="n"/>
      <ns0:c r="Q2" s="1" t="n"/>
      <ns0:c r="R2" s="1" t="n"/>
      <ns0:c r="S2" s="1" t="n"/>
      <ns0:c r="T2" s="1" t="n"/>
      <ns0:c r="U2" s="1" t="n"/>
      <ns0:c r="V2" s="1" t="n"/>
      <ns0:c r="W2" s="1" t="n"/>
      <ns0:c r="X2" s="1" t="n"/>
      <ns0:c r="Y2" s="1" t="n"/>
      <ns0:c r="Z2" s="1" t="n"/>
      <ns0:c r="AA2" s="1" t="n"/>
      <ns0:c r="AB2" s="1" t="n"/>
      <ns0:c r="AC2" s="1" t="n"/>
      <ns0:c r="AD2" s="1" t="n"/>
      <ns0:c r="AE2" s="1" t="n"/>
      <ns0:c r="AF2" s="1" t="n"/>
      <ns0:c r="AG2" s="1" t="n"/>
      <ns0:c r="AH2" s="1" t="n"/>
      <ns0:c r="AI2" s="1" t="n"/>
      <ns0:c r="AJ2" s="1" t="n"/>
      <ns0:c r="AK2" s="1" t="n"/>
      <ns0:c r="AL2" s="1" t="n"/>
      <ns0:c r="AM2" s="1" t="n"/>
      <ns0:c r="AN2" s="1" t="n"/>
      <ns0:c r="AO2" s="1" t="n"/>
      <ns0:c r="AP2" s="1" t="n"/>
      <ns0:c r="AQ2" s="1" t="n"/>
      <ns0:c r="AR2" s="1" t="n"/>
      <ns0:c r="AS2" s="1" t="n"/>
      <ns0:c r="AT2" s="1" t="n"/>
      <ns0:c r="AU2" s="1" t="n"/>
      <ns0:c r="AV2" s="1" t="n"/>
      <ns0:c r="AW2" s="1" t="n"/>
      <ns0:c r="AX2" s="1" t="n"/>
      <ns0:c r="AY2" s="1" t="n"/>
      <ns0:c r="AZ2" s="1" t="n"/>
      <ns0:c r="BA2" s="1" t="n"/>
      <ns0:c r="BB2" s="1" t="n"/>
      <ns0:c r="BC2" s="1" t="n"/>
      <ns0:c r="BD2" s="1" t="n"/>
      <ns0:c r="BE2" s="1" t="n"/>
      <ns0:c r="BF2" s="1" t="n"/>
      <ns0:c r="BG2" s="1" t="n"/>
      <ns0:c r="BH2" s="1" t="n"/>
      <ns0:c r="BI2" s="1" t="n"/>
      <ns0:c r="BJ2" s="1" t="n"/>
      <ns0:c r="BK2" s="1" t="n"/>
    </ns0:row>
    <ns0:row r="3">
      <ns0:c r="A3" s="24" t="inlineStr">
        <ns0:is>
          <ns0:t>Компания</ns0:t>
        </ns0:is>
      </ns0:c>
      <ns0:c r="B3" s="1" t="n"/>
      <ns0:c r="C3" s="24" t="inlineStr">
        <ns0:is>
          <ns0:t>в</ns0:t>
        </ns0:is>
      </ns0:c>
      <ns0:c r="D3" s="6" t="inlineStr">
        <ns0:is>
          <ns0:t>0-1кг</ns0:t>
        </ns0:is>
      </ns0:c>
      <ns0:c r="E3" s="29" t="inlineStr">
        <ns0:is>
          <ns0:t xml:space="preserve">  1-3кг</ns0:t>
        </ns0:is>
      </ns0:c>
      <ns0:c r="F3" s="29" t="inlineStr">
        <ns0:is>
          <ns0:t xml:space="preserve">  3-5кг</ns0:t>
        </ns0:is>
      </ns0:c>
      <ns0:c r="G3" s="6" t="inlineStr">
        <ns0:is>
          <ns0:t xml:space="preserve">  5-10кг</ns0:t>
        </ns0:is>
      </ns0:c>
      <ns0:c r="H3" s="29" t="inlineStr">
        <ns0:is>
          <ns0:t xml:space="preserve">  10-15кг</ns0:t>
        </ns0:is>
      </ns0:c>
      <ns0:c r="I3" s="29" t="inlineStr">
        <ns0:is>
          <ns0:t xml:space="preserve">  15-20кг</ns0:t>
        </ns0:is>
      </ns0:c>
      <ns0:c r="J3" s="6" t="inlineStr">
        <ns0:is>
          <ns0:t xml:space="preserve">  20-35кг</ns0:t>
        </ns0:is>
      </ns0:c>
      <ns0:c r="K3" s="29" t="inlineStr">
        <ns0:is>
          <ns0:t>35-40кг</ns0:t>
        </ns0:is>
      </ns0:c>
      <ns0:c r="L3" s="29" t="inlineStr">
        <ns0:is>
          <ns0:t>40-50кг</ns0:t>
        </ns0:is>
      </ns0:c>
      <ns0:c r="M3" s="29" t="inlineStr">
        <ns0:is>
          <ns0:t>МИН</ns0:t>
        </ns0:is>
      </ns0:c>
      <ns0:c r="N3" s="6" t="inlineStr">
        <ns0:is>
          <ns0:t>до 100</ns0:t>
        </ns0:is>
      </ns0:c>
      <ns0:c r="O3" s="6" t="inlineStr">
        <ns0:is>
          <ns0:t>до 200</ns0:t>
        </ns0:is>
      </ns0:c>
      <ns0:c r="P3" s="29" t="inlineStr">
        <ns0:is>
          <ns0:t>до 250</ns0:t>
        </ns0:is>
      </ns0:c>
      <ns0:c r="Q3" s="29" t="inlineStr">
        <ns0:is>
          <ns0:t>до 300</ns0:t>
        </ns0:is>
      </ns0:c>
      <ns0:c r="R3" s="29" t="inlineStr">
        <ns0:is>
          <ns0:t>до 400</ns0:t>
        </ns0:is>
      </ns0:c>
      <ns0:c r="S3" s="29" t="inlineStr">
        <ns0:is>
          <ns0:t>до 500</ns0:t>
        </ns0:is>
      </ns0:c>
      <ns0:c r="T3" s="6" t="inlineStr">
        <ns0:is>
          <ns0:t>до 600</ns0:t>
        </ns0:is>
      </ns0:c>
      <ns0:c r="U3" s="29" t="inlineStr">
        <ns0:is>
          <ns0:t>до 700</ns0:t>
        </ns0:is>
      </ns0:c>
      <ns0:c r="V3" s="29" t="inlineStr">
        <ns0:is>
          <ns0:t>до 750</ns0:t>
        </ns0:is>
      </ns0:c>
      <ns0:c r="W3" s="29" t="inlineStr">
        <ns0:is>
          <ns0:t>до 800</ns0:t>
        </ns0:is>
      </ns0:c>
      <ns0:c r="X3" s="29" t="inlineStr">
        <ns0:is>
          <ns0:t>до 1000</ns0:t>
        </ns0:is>
      </ns0:c>
      <ns0:c r="Y3" s="6" t="inlineStr">
        <ns0:is>
          <ns0:t>до 1200</ns0:t>
        </ns0:is>
      </ns0:c>
      <ns0:c r="Z3" s="29" t="inlineStr">
        <ns0:is>
          <ns0:t>до 1500</ns0:t>
        </ns0:is>
      </ns0:c>
      <ns0:c r="AA3" s="29" t="inlineStr">
        <ns0:is>
          <ns0:t>до 2000</ns0:t>
        </ns0:is>
      </ns0:c>
      <ns0:c r="AB3" s="6" t="inlineStr">
        <ns0:is>
          <ns0:t>до 2500</ns0:t>
        </ns0:is>
      </ns0:c>
      <ns0:c r="AC3" s="29" t="inlineStr">
        <ns0:is>
          <ns0:t>до 3000</ns0:t>
        </ns0:is>
      </ns0:c>
      <ns0:c r="AD3" s="6" t="inlineStr">
        <ns0:is>
          <ns0:t>до 5000</ns0:t>
        </ns0:is>
      </ns0:c>
      <ns0:c r="AE3" s="29" t="inlineStr">
        <ns0:is>
          <ns0:t>до 10000</ns0:t>
        </ns0:is>
      </ns0:c>
      <ns0:c r="AF3" s="29" t="inlineStr">
        <ns0:is>
          <ns0:t>до 20000</ns0:t>
        </ns0:is>
      </ns0:c>
      <ns0:c r="AG3" s="1" t="n"/>
      <ns0:c r="AH3" s="6" t="inlineStr">
        <ns0:is>
          <ns0:t>0,2-0,4</ns0:t>
        </ns0:is>
      </ns0:c>
      <ns0:c r="AI3" s="29" t="inlineStr">
        <ns0:is>
          <ns0:t>0,4-0,6</ns0:t>
        </ns0:is>
      </ns0:c>
      <ns0:c r="AJ3" s="29" t="inlineStr">
        <ns0:is>
          <ns0:t>0,6-0,8</ns0:t>
        </ns0:is>
      </ns0:c>
      <ns0:c r="AK3" s="29" t="inlineStr">
        <ns0:is>
          <ns0:t>0,8-1,1</ns0:t>
        </ns0:is>
      </ns0:c>
      <ns0:c r="AL3" s="6" t="inlineStr">
        <ns0:is>
          <ns0:t>1,1-1,2</ns0:t>
        </ns0:is>
      </ns0:c>
      <ns0:c r="AM3" s="29" t="inlineStr">
        <ns0:is>
          <ns0:t>1,2-1,3</ns0:t>
        </ns0:is>
      </ns0:c>
      <ns0:c r="AN3" s="29" t="inlineStr">
        <ns0:is>
          <ns0:t>1,3-1,5</ns0:t>
        </ns0:is>
      </ns0:c>
      <ns0:c r="AO3" s="29" t="inlineStr">
        <ns0:is>
          <ns0:t>1,5-1,8</ns0:t>
        </ns0:is>
      </ns0:c>
      <ns0:c r="AP3" s="29" t="inlineStr">
        <ns0:is>
          <ns0:t>1,8-2</ns0:t>
        </ns0:is>
      </ns0:c>
      <ns0:c r="AQ3" s="29" t="inlineStr">
        <ns0:is>
          <ns0:t>2-2,3</ns0:t>
        </ns0:is>
      </ns0:c>
      <ns0:c r="AR3" s="29" t="inlineStr">
        <ns0:is>
          <ns0:t>2,3-2,5</ns0:t>
        </ns0:is>
      </ns0:c>
      <ns0:c r="AS3" s="29" t="inlineStr">
        <ns0:is>
          <ns0:t>2,5-3</ns0:t>
        </ns0:is>
      </ns0:c>
      <ns0:c r="AT3" s="6" t="inlineStr">
        <ns0:is>
          <ns0:t>3-3,2</ns0:t>
        </ns0:is>
      </ns0:c>
      <ns0:c r="AU3" s="29" t="inlineStr">
        <ns0:is>
          <ns0:t>3,2-3,6</ns0:t>
        </ns0:is>
      </ns0:c>
      <ns0:c r="AV3" s="29" t="inlineStr">
        <ns0:is>
          <ns0:t>3,6-4</ns0:t>
        </ns0:is>
      </ns0:c>
      <ns0:c r="AW3" s="29" t="inlineStr">
        <ns0:is>
          <ns0:t>4--5</ns0:t>
        </ns0:is>
      </ns0:c>
      <ns0:c r="AX3" s="6" t="inlineStr">
        <ns0:is>
          <ns0:t>5-5,5</ns0:t>
        </ns0:is>
      </ns0:c>
      <ns0:c r="AY3" s="29" t="inlineStr">
        <ns0:is>
          <ns0:t>5,5-5,8</ns0:t>
        </ns0:is>
      </ns0:c>
      <ns0:c r="AZ3" s="29" t="inlineStr">
        <ns0:is>
          <ns0:t>5,8-6</ns0:t>
        </ns0:is>
      </ns0:c>
      <ns0:c r="BA3" s="29" t="inlineStr">
        <ns0:is>
          <ns0:t>6--7</ns0:t>
        </ns0:is>
      </ns0:c>
      <ns0:c r="BB3" s="29" t="inlineStr">
        <ns0:is>
          <ns0:t>7-7,5</ns0:t>
        </ns0:is>
      </ns0:c>
      <ns0:c r="BC3" s="29" t="inlineStr">
        <ns0:is>
          <ns0:t>7,5-8</ns0:t>
        </ns0:is>
      </ns0:c>
      <ns0:c r="BD3" s="29" t="inlineStr">
        <ns0:is>
          <ns0:t>8--10</ns0:t>
        </ns0:is>
      </ns0:c>
      <ns0:c r="BE3" s="6" t="inlineStr">
        <ns0:is>
          <ns0:t>10--12</ns0:t>
        </ns0:is>
      </ns0:c>
      <ns0:c r="BF3" s="29" t="inlineStr">
        <ns0:is>
          <ns0:t>12--15</ns0:t>
        </ns0:is>
      </ns0:c>
      <ns0:c r="BG3" s="6" t="inlineStr">
        <ns0:is>
          <ns0:t>15--20</ns0:t>
        </ns0:is>
      </ns0:c>
      <ns0:c r="BH3" s="29" t="inlineStr">
        <ns0:is>
          <ns0:t>20--25</ns0:t>
        </ns0:is>
      </ns0:c>
      <ns0:c r="BI3" s="29" t="inlineStr">
        <ns0:is>
          <ns0:t>25--40</ns0:t>
        </ns0:is>
      </ns0:c>
      <ns0:c r="BJ3" s="29" t="inlineStr">
        <ns0:is>
          <ns0:t>40--45</ns0:t>
        </ns0:is>
      </ns0:c>
      <ns0:c r="BK3" s="29" t="inlineStr">
        <ns0:is>
          <ns0:t>40--80</ns0:t>
        </ns0:is>
      </ns0:c>
    </ns0:row>
    <ns0:row r="4">
      <ns0:c r="A4" s="31" t="inlineStr">
        <ns0:is>
          <ns0:t>WernerNEW</ns0:t>
        </ns0:is>
      </ns0:c>
      <ns0:c r="B4" s="31" t="b">
        <ns0:f>'Графики'!C19</ns0:f>
        <ns0:v>1</ns0:v>
      </ns0:c>
      <ns0:c r="C4" s="31" t="n"/>
      <ns0:c r="D4" s="31">
        <ns0:f>IF($B4=FALSE,"не выбрана",IF($G$1="","нет маршрута",INDEX('WernerNEW'!D$1:D$2,$G$1)))</ns0:f>
        <ns0:v>246.0</ns0:v>
      </ns0:c>
      <ns0:c r="E4" s="31">
        <ns0:f>IF($B4=FALSE,"не выбрана",IF($G$1="","нет маршрута",INDEX('WernerNEW'!E$1:E$2,$G$1)))</ns0:f>
        <ns0:v>246.0</ns0:v>
      </ns0:c>
      <ns0:c r="F4" s="31">
        <ns0:f>IF($B4=FALSE,"не выбрана",IF($G$1="","нет маршрута",INDEX('WernerNEW'!F$1:F$2,$G$1)))</ns0:f>
        <ns0:v>246.0</ns0:v>
      </ns0:c>
      <ns0:c r="G4" s="31">
        <ns0:f>IF($B4=FALSE,"не выбрана",IF($G$1="","нет маршрута",INDEX('WernerNEW'!G$1:G$2,$G$1)))</ns0:f>
        <ns0:v>453.0</ns0:v>
      </ns0:c>
      <ns0:c r="H4" s="31">
        <ns0:f>IF($B4=FALSE,"не выбрана",IF($G$1="","нет маршрута",INDEX('WernerNEW'!H$1:H$2,$G$1)))</ns0:f>
        <ns0:v>453.0</ns0:v>
      </ns0:c>
      <ns0:c r="I4" s="31">
        <ns0:f>IF($B4=FALSE,"не выбрана",IF($G$1="","нет маршрута",INDEX('WernerNEW'!I$1:I$2,$G$1)))</ns0:f>
        <ns0:v>453.0</ns0:v>
      </ns0:c>
      <ns0:c r="J4" s="31">
        <ns0:f>IF($B4=FALSE,"не выбрана",IF($G$1="","нет маршрута",INDEX('WernerNEW'!J$1:J$2,$G$1)))</ns0:f>
        <ns0:v>510.0</ns0:v>
      </ns0:c>
      <ns0:c r="K4" s="31">
        <ns0:f>IF($B4=FALSE,"не выбрана",IF($G$1="","нет маршрута",INDEX('WernerNEW'!K$1:K$2,$G$1)))</ns0:f>
        <ns0:v>570.0</ns0:v>
      </ns0:c>
      <ns0:c r="L4" s="31">
        <ns0:f>IF($B4=FALSE,"не выбрана",IF($G$1="","нет маршрута",INDEX('WernerNEW'!L$1:L$2,$G$1)))</ns0:f>
        <ns0:v>700.0</ns0:v>
      </ns0:c>
      <ns0:c r="M4" s="31">
        <ns0:f>IF($B4=FALSE,"не выбрана",IF($G$1="","нет маршрута",INDEX('WernerNEW'!M$1:M$2,$G$1)))</ns0:f>
        <ns0:v>246.0</ns0:v>
      </ns0:c>
      <ns0:c r="N4" s="31">
        <ns0:f>IF($B4=FALSE,"не выбрана",IF($G$1="","нет маршрута",INDEX('WernerNEW'!N$1:N$2,$G$1)))</ns0:f>
        <ns0:v>14.0</ns0:v>
      </ns0:c>
      <ns0:c r="O4" s="31">
        <ns0:f>IF($B4=FALSE,"не выбрана",IF($G$1="","нет маршрута",INDEX('WernerNEW'!O$1:O$2,$G$1)))</ns0:f>
        <ns0:v>13.25</ns0:v>
      </ns0:c>
      <ns0:c r="P4" s="31">
        <ns0:f>IF($B4=FALSE,"не выбрана",IF($G$1="","нет маршрута",INDEX('WernerNEW'!P$1:P$2,$G$1)))</ns0:f>
        <ns0:v>13.148</ns0:v>
      </ns0:c>
      <ns0:c r="Q4" s="31">
        <ns0:f>IF($B4=FALSE,"не выбрана",IF($G$1="","нет маршрута",INDEX('WernerNEW'!Q$1:Q$2,$G$1)))</ns0:f>
        <ns0:v>13.0833</ns0:v>
      </ns0:c>
      <ns0:c r="R4" s="31">
        <ns0:f>IF($B4=FALSE,"не выбрана",IF($G$1="","нет маршрута",INDEX('WernerNEW'!R$1:R$2,$G$1)))</ns0:f>
        <ns0:v>13.0</ns0:v>
      </ns0:c>
      <ns0:c r="S4" s="31">
        <ns0:f>IF($B4=FALSE,"не выбрана",IF($G$1="","нет маршрута",INDEX('WernerNEW'!S$1:S$2,$G$1)))</ns0:f>
        <ns0:v>12.95</ns0:v>
      </ns0:c>
      <ns0:c r="T4" s="31">
        <ns0:f>IF($B4=FALSE,"не выбрана",IF($G$1="","нет маршрута",INDEX('WernerNEW'!T$1:T$2,$G$1)))</ns0:f>
        <ns0:v>12.54</ns0:v>
      </ns0:c>
      <ns0:c r="U4" s="31">
        <ns0:f>IF($B4=FALSE,"не выбрана",IF($G$1="","нет маршрута",INDEX('WernerNEW'!U$1:U$2,$G$1)))</ns0:f>
        <ns0:v>12.5186</ns0:v>
      </ns0:c>
      <ns0:c r="V4" s="31">
        <ns0:f>IF($B4=FALSE,"не выбрана",IF($G$1="","нет маршрута",INDEX('WernerNEW'!V$1:V$2,$G$1)))</ns0:f>
        <ns0:v>12.508</ns0:v>
      </ns0:c>
      <ns0:c r="W4" s="31">
        <ns0:f>IF($B4=FALSE,"не выбрана",IF($G$1="","нет маршрута",INDEX('WernerNEW'!W$1:W$2,$G$1)))</ns0:f>
        <ns0:v>12.5</ns0:v>
      </ns0:c>
      <ns0:c r="X4" s="31">
        <ns0:f>IF($B4=FALSE,"не выбрана",IF($G$1="","нет маршрута",INDEX('WernerNEW'!X$1:X$2,$G$1)))</ns0:f>
        <ns0:v>11.851</ns0:v>
      </ns0:c>
      <ns0:c r="Y4" s="31">
        <ns0:f>IF($B4=FALSE,"не выбрана",IF($G$1="","нет маршрута",INDEX('WernerNEW'!Y$1:Y$2,$G$1)))</ns0:f>
        <ns0:v>11.8333</ns0:v>
      </ns0:c>
      <ns0:c r="Z4" s="31">
        <ns0:f>IF($B4=FALSE,"не выбрана",IF($G$1="","нет маршрута",INDEX('WernerNEW'!Z$1:Z$2,$G$1)))</ns0:f>
        <ns0:v>11.816</ns0:v>
      </ns0:c>
      <ns0:c r="AA4" s="31">
        <ns0:f>IF($B4=FALSE,"не выбрана",IF($G$1="","нет маршрута",INDEX('WernerNEW'!AA$1:AA$2,$G$1)))</ns0:f>
        <ns0:v>11.1745</ns0:v>
      </ns0:c>
      <ns0:c r="AB4" s="31">
        <ns0:f>IF($B4=FALSE,"не выбрана",IF($G$1="","нет маршрута",INDEX('WernerNEW'!AB$1:AB$2,$G$1)))</ns0:f>
        <ns0:v>11.1652</ns0:v>
      </ns0:c>
      <ns0:c r="AC4" s="31">
        <ns0:f>IF($B4=FALSE,"не выбрана",IF($G$1="","нет маршрута",INDEX('WernerNEW'!AC$1:AC$2,$G$1)))</ns0:f>
        <ns0:v>11.0333</ns0:v>
      </ns0:c>
      <ns0:c r="AD4" s="31">
        <ns0:f>IF($B4=FALSE,"не выбрана",IF($G$1="","нет маршрута",INDEX('WernerNEW'!AD$1:AD$2,$G$1)))</ns0:f>
        <ns0:v>11.0198</ns0:v>
      </ns0:c>
      <ns0:c r="AE4" s="31">
        <ns0:f>IF($B4=FALSE,"не выбрана",IF($G$1="","нет маршрута",INDEX('WernerNEW'!AE$1:AE$2,$G$1)))</ns0:f>
        <ns0:v>11.0097</ns0:v>
      </ns0:c>
      <ns0:c r="AF4" s="31">
        <ns0:f>IF($B4=FALSE,"не выбрана",IF($G$1="","нет маршрута",INDEX('WernerNEW'!AF$1:AF$2,$G$1)))</ns0:f>
        <ns0:v>11.0051</ns0:v>
      </ns0:c>
      <ns0:c r="AG4" s="31" t="n"/>
      <ns0:c r="AH4" s="31" t="n"/>
      <ns0:c r="AI4" s="31" t="n"/>
      <ns0:c r="AJ4" s="31" t="n"/>
      <ns0:c r="AK4" s="31" t="n"/>
      <ns0:c r="AL4" s="31" t="n"/>
      <ns0:c r="AM4" s="31" t="n"/>
      <ns0:c r="AN4" s="31" t="n"/>
      <ns0:c r="AO4" s="31" t="n"/>
      <ns0:c r="AP4" s="31" t="n"/>
      <ns0:c r="AQ4" s="31" t="n"/>
      <ns0:c r="AR4" s="31" t="n"/>
      <ns0:c r="AS4" s="31" t="n"/>
      <ns0:c r="AT4" s="31" t="n"/>
      <ns0:c r="AU4" s="31" t="n"/>
      <ns0:c r="AV4" s="31" t="n"/>
      <ns0:c r="AW4" s="31" t="n"/>
      <ns0:c r="AX4" s="31" t="n"/>
      <ns0:c r="AY4" s="31" t="n"/>
      <ns0:c r="AZ4" s="31" t="n"/>
      <ns0:c r="BA4" s="31" t="n"/>
      <ns0:c r="BB4" s="31" t="n"/>
      <ns0:c r="BC4" s="31" t="n"/>
      <ns0:c r="BD4" s="31" t="n"/>
      <ns0:c r="BE4" s="31" t="n"/>
      <ns0:c r="BF4" s="31" t="n"/>
      <ns0:c r="BG4" s="31" t="n"/>
      <ns0:c r="BH4" s="31" t="n"/>
      <ns0:c r="BI4" s="31" t="n"/>
      <ns0:c r="BJ4" s="31" t="n"/>
      <ns0:c r="BK4" s="31" t="n"/>
    </ns0:row>
    <ns0:row r="5">
      <ns0:c r="A5" s="31" t="inlineStr">
        <ns0:is>
          <ns0:t>WernerOld</ns0:t>
        </ns0:is>
      </ns0:c>
      <ns0:c r="B5" s="31" t="b">
        <ns0:f>'Графики'!C20</ns0:f>
        <ns0:v>0</ns0:v>
      </ns0:c>
      <ns0:c r="C5" s="31" t="n"/>
      <ns0:c r="D5" s="31" t="str">
        <ns0:f>IF($B5=FALSE,"не выбрана",IF($G$1="","нет маршрута",INDEX('WernerOld'!D$1:D$2,$G$1)))</ns0:f>
        <ns0:v>не выбрана</ns0:v>
      </ns0:c>
      <ns0:c r="E5" s="31" t="str">
        <ns0:f>IF($B5=FALSE,"не выбрана",IF($G$1="","нет маршрута",INDEX('WernerOld'!E$1:E$2,$G$1)))</ns0:f>
        <ns0:v>не выбрана</ns0:v>
      </ns0:c>
      <ns0:c r="F5" s="31" t="str">
        <ns0:f>IF($B5=FALSE,"не выбрана",IF($G$1="","нет маршрута",INDEX('WernerOld'!F$1:F$2,$G$1)))</ns0:f>
        <ns0:v>не выбрана</ns0:v>
      </ns0:c>
      <ns0:c r="G5" s="31" t="str">
        <ns0:f>IF($B5=FALSE,"не выбрана",IF($G$1="","нет маршрута",INDEX('WernerOld'!G$1:G$2,$G$1)))</ns0:f>
        <ns0:v>не выбрана</ns0:v>
      </ns0:c>
      <ns0:c r="H5" s="31" t="str">
        <ns0:f>IF($B5=FALSE,"не выбрана",IF($G$1="","нет маршрута",INDEX('WernerOld'!H$1:H$2,$G$1)))</ns0:f>
        <ns0:v>не выбрана</ns0:v>
      </ns0:c>
      <ns0:c r="I5" s="31" t="str">
        <ns0:f>IF($B5=FALSE,"не выбрана",IF($G$1="","нет маршрута",INDEX('WernerOld'!I$1:I$2,$G$1)))</ns0:f>
        <ns0:v>не выбрана</ns0:v>
      </ns0:c>
      <ns0:c r="J5" s="31" t="str">
        <ns0:f>IF($B5=FALSE,"не выбрана",IF($G$1="","нет маршрута",INDEX('WernerOld'!J$1:J$2,$G$1)))</ns0:f>
        <ns0:v>не выбрана</ns0:v>
      </ns0:c>
      <ns0:c r="K5" s="31" t="str">
        <ns0:f>IF($B5=FALSE,"не выбрана",IF($G$1="","нет маршрута",INDEX('WernerOld'!K$1:K$2,$G$1)))</ns0:f>
        <ns0:v>не выбрана</ns0:v>
      </ns0:c>
      <ns0:c r="L5" s="31" t="str">
        <ns0:f>IF($B5=FALSE,"не выбрана",IF($G$1="","нет маршрута",INDEX('WernerOld'!L$1:L$2,$G$1)))</ns0:f>
        <ns0:v>не выбрана</ns0:v>
      </ns0:c>
      <ns0:c r="M5" s="31" t="str">
        <ns0:f>IF($B5=FALSE,"не выбрана",IF($G$1="","нет маршрута",INDEX('WernerOld'!M$1:M$2,$G$1)))</ns0:f>
        <ns0:v>не выбрана</ns0:v>
      </ns0:c>
      <ns0:c r="N5" s="31" t="str">
        <ns0:f>IF($B5=FALSE,"не выбрана",IF($G$1="","нет маршрута",INDEX('WernerOld'!N$1:N$2,$G$1)))</ns0:f>
        <ns0:v>не выбрана</ns0:v>
      </ns0:c>
      <ns0:c r="O5" s="31" t="str">
        <ns0:f>IF($B5=FALSE,"не выбрана",IF($G$1="","нет маршрута",INDEX('WernerOld'!O$1:O$2,$G$1)))</ns0:f>
        <ns0:v>не выбрана</ns0:v>
      </ns0:c>
      <ns0:c r="P5" s="31" t="str">
        <ns0:f>IF($B5=FALSE,"не выбрана",IF($G$1="","нет маршрута",INDEX('WernerOld'!P$1:P$2,$G$1)))</ns0:f>
        <ns0:v>не выбрана</ns0:v>
      </ns0:c>
      <ns0:c r="Q5" s="31" t="str">
        <ns0:f>IF($B5=FALSE,"не выбрана",IF($G$1="","нет маршрута",INDEX('WernerOld'!Q$1:Q$2,$G$1)))</ns0:f>
        <ns0:v>не выбрана</ns0:v>
      </ns0:c>
      <ns0:c r="R5" s="31" t="str">
        <ns0:f>IF($B5=FALSE,"не выбрана",IF($G$1="","нет маршрута",INDEX('WernerOld'!R$1:R$2,$G$1)))</ns0:f>
        <ns0:v>не выбрана</ns0:v>
      </ns0:c>
      <ns0:c r="S5" s="31" t="str">
        <ns0:f>IF($B5=FALSE,"не выбрана",IF($G$1="","нет маршрута",INDEX('WernerOld'!S$1:S$2,$G$1)))</ns0:f>
        <ns0:v>не выбрана</ns0:v>
      </ns0:c>
      <ns0:c r="T5" s="31" t="str">
        <ns0:f>IF($B5=FALSE,"не выбрана",IF($G$1="","нет маршрута",INDEX('WernerOld'!T$1:T$2,$G$1)))</ns0:f>
        <ns0:v>не выбрана</ns0:v>
      </ns0:c>
      <ns0:c r="U5" s="31" t="str">
        <ns0:f>IF($B5=FALSE,"не выбрана",IF($G$1="","нет маршрута",INDEX('WernerOld'!U$1:U$2,$G$1)))</ns0:f>
        <ns0:v>не выбрана</ns0:v>
      </ns0:c>
      <ns0:c r="V5" s="31" t="str">
        <ns0:f>IF($B5=FALSE,"не выбрана",IF($G$1="","нет маршрута",INDEX('WernerOld'!V$1:V$2,$G$1)))</ns0:f>
        <ns0:v>не выбрана</ns0:v>
      </ns0:c>
      <ns0:c r="W5" s="31" t="str">
        <ns0:f>IF($B5=FALSE,"не выбрана",IF($G$1="","нет маршрута",INDEX('WernerOld'!W$1:W$2,$G$1)))</ns0:f>
        <ns0:v>не выбрана</ns0:v>
      </ns0:c>
      <ns0:c r="X5" s="31" t="str">
        <ns0:f>IF($B5=FALSE,"не выбрана",IF($G$1="","нет маршрута",INDEX('WernerOld'!X$1:X$2,$G$1)))</ns0:f>
        <ns0:v>не выбрана</ns0:v>
      </ns0:c>
      <ns0:c r="Y5" s="31" t="str">
        <ns0:f>IF($B5=FALSE,"не выбрана",IF($G$1="","нет маршрута",INDEX('WernerOld'!Y$1:Y$2,$G$1)))</ns0:f>
        <ns0:v>не выбрана</ns0:v>
      </ns0:c>
      <ns0:c r="Z5" s="31" t="str">
        <ns0:f>IF($B5=FALSE,"не выбрана",IF($G$1="","нет маршрута",INDEX('WernerOld'!Z$1:Z$2,$G$1)))</ns0:f>
        <ns0:v>не выбрана</ns0:v>
      </ns0:c>
      <ns0:c r="AA5" s="31" t="str">
        <ns0:f>IF($B5=FALSE,"не выбрана",IF($G$1="","нет маршрута",INDEX('WernerOld'!AA$1:AA$2,$G$1)))</ns0:f>
        <ns0:v>не выбрана</ns0:v>
      </ns0:c>
      <ns0:c r="AB5" s="31" t="str">
        <ns0:f>IF($B5=FALSE,"не выбрана",IF($G$1="","нет маршрута",INDEX('WernerOld'!AB$1:AB$2,$G$1)))</ns0:f>
        <ns0:v>не выбрана</ns0:v>
      </ns0:c>
      <ns0:c r="AC5" s="31" t="str">
        <ns0:f>IF($B5=FALSE,"не выбрана",IF($G$1="","нет маршрута",INDEX('WernerOld'!AC$1:AC$2,$G$1)))</ns0:f>
        <ns0:v>не выбрана</ns0:v>
      </ns0:c>
      <ns0:c r="AD5" s="31" t="str">
        <ns0:f>IF($B5=FALSE,"не выбрана",IF($G$1="","нет маршрута",INDEX('WernerOld'!AD$1:AD$2,$G$1)))</ns0:f>
        <ns0:v>не выбрана</ns0:v>
      </ns0:c>
      <ns0:c r="AE5" s="31" t="str">
        <ns0:f>IF($B5=FALSE,"не выбрана",IF($G$1="","нет маршрута",INDEX('WernerOld'!AE$1:AE$2,$G$1)))</ns0:f>
        <ns0:v>не выбрана</ns0:v>
      </ns0:c>
      <ns0:c r="AF5" s="31" t="str">
        <ns0:f>IF($B5=FALSE,"не выбрана",IF($G$1="","нет маршрута",INDEX('WernerOld'!AF$1:AF$2,$G$1)))</ns0:f>
        <ns0:v>не выбрана</ns0:v>
      </ns0:c>
      <ns0:c r="AG5" s="31" t="n"/>
      <ns0:c r="AH5" s="31" t="n"/>
      <ns0:c r="AI5" s="31" t="n"/>
      <ns0:c r="AJ5" s="31" t="n"/>
      <ns0:c r="AK5" s="31" t="n"/>
      <ns0:c r="AL5" s="31" t="n"/>
      <ns0:c r="AM5" s="31" t="n"/>
      <ns0:c r="AN5" s="31" t="n"/>
      <ns0:c r="AO5" s="31" t="n"/>
      <ns0:c r="AP5" s="31" t="n"/>
      <ns0:c r="AQ5" s="31" t="n"/>
      <ns0:c r="AR5" s="31" t="n"/>
      <ns0:c r="AS5" s="31" t="n"/>
      <ns0:c r="AT5" s="31" t="n"/>
      <ns0:c r="AU5" s="31" t="n"/>
      <ns0:c r="AV5" s="31" t="n"/>
      <ns0:c r="AW5" s="31" t="n"/>
      <ns0:c r="AX5" s="31" t="n"/>
      <ns0:c r="AY5" s="31" t="n"/>
      <ns0:c r="AZ5" s="31" t="n"/>
      <ns0:c r="BA5" s="31" t="n"/>
      <ns0:c r="BB5" s="31" t="n"/>
      <ns0:c r="BC5" s="31" t="n"/>
      <ns0:c r="BD5" s="31" t="n"/>
      <ns0:c r="BE5" s="31" t="n"/>
      <ns0:c r="BF5" s="31" t="n"/>
      <ns0:c r="BG5" s="31" t="n"/>
      <ns0:c r="BH5" s="31" t="n"/>
      <ns0:c r="BI5" s="31" t="n"/>
      <ns0:c r="BJ5" s="31" t="n"/>
      <ns0:c r="BK5" s="31" t="n"/>
    </ns0:row>
    <ns0:row r="6">
      <ns0:c r="A6" s="31" t="inlineStr">
        <ns0:is>
          <ns0:t>ДЛ</ns0:t>
        </ns0:is>
      </ns0:c>
      <ns0:c r="B6" s="31" t="b">
        <ns0:f>'Графики'!C21</ns0:f>
        <ns0:v>1</ns0:v>
      </ns0:c>
      <ns0:c r="C6" s="31" t="n"/>
      <ns0:c r="D6" s="31" t="str">
        <ns0:f>IF($B6=FALSE,"не выбрана",IF($G$1="","нет маршрута",INDEX('ДЛ'!D$1:D$2,$G$1)))</ns0:f>
        <ns0:v>нет данных</ns0:v>
      </ns0:c>
      <ns0:c r="E6" s="31" t="str">
        <ns0:f>IF($B6=FALSE,"не выбрана",IF($G$1="","нет маршрута",INDEX('ДЛ'!E$1:E$2,$G$1)))</ns0:f>
        <ns0:v>нет данных</ns0:v>
      </ns0:c>
      <ns0:c r="F6" s="31" t="str">
        <ns0:f>IF($B6=FALSE,"не выбрана",IF($G$1="","нет маршрута",INDEX('ДЛ'!F$1:F$2,$G$1)))</ns0:f>
        <ns0:v>нет данных</ns0:v>
      </ns0:c>
      <ns0:c r="G6" s="31" t="str">
        <ns0:f>IF($B6=FALSE,"не выбрана",IF($G$1="","нет маршрута",INDEX('ДЛ'!G$1:G$2,$G$1)))</ns0:f>
        <ns0:v>нет данных</ns0:v>
      </ns0:c>
      <ns0:c r="H6" s="31" t="str">
        <ns0:f>IF($B6=FALSE,"не выбрана",IF($G$1="","нет маршрута",INDEX('ДЛ'!H$1:H$2,$G$1)))</ns0:f>
        <ns0:v>нет данных</ns0:v>
      </ns0:c>
      <ns0:c r="I6" s="31" t="str">
        <ns0:f>IF($B6=FALSE,"не выбрана",IF($G$1="","нет маршрута",INDEX('ДЛ'!I$1:I$2,$G$1)))</ns0:f>
        <ns0:v>нет данных</ns0:v>
      </ns0:c>
      <ns0:c r="J6" s="31" t="str">
        <ns0:f>IF($B6=FALSE,"не выбрана",IF($G$1="","нет маршрута",INDEX('ДЛ'!J$1:J$2,$G$1)))</ns0:f>
        <ns0:v>нет данных</ns0:v>
      </ns0:c>
      <ns0:c r="K6" s="31" t="str">
        <ns0:f>IF($B6=FALSE,"не выбрана",IF($G$1="","нет маршрута",INDEX('ДЛ'!K$1:K$2,$G$1)))</ns0:f>
        <ns0:v>нет данных</ns0:v>
      </ns0:c>
      <ns0:c r="L6" s="31" t="str">
        <ns0:f>IF($B6=FALSE,"не выбрана",IF($G$1="","нет маршрута",INDEX('ДЛ'!L$1:L$2,$G$1)))</ns0:f>
        <ns0:v>нет данных</ns0:v>
      </ns0:c>
      <ns0:c r="M6" s="31" t="str">
        <ns0:f>IF($B6=FALSE,"не выбрана",IF($G$1="","нет маршрута",INDEX('ДЛ'!M$1:M$2,$G$1)))</ns0:f>
        <ns0:v>нет данных</ns0:v>
      </ns0:c>
      <ns0:c r="N6" s="31" t="str">
        <ns0:f>IF($B6=FALSE,"не выбрана",IF($G$1="","нет маршрута",INDEX('ДЛ'!N$1:N$2,$G$1)))</ns0:f>
        <ns0:v>нет данных</ns0:v>
      </ns0:c>
      <ns0:c r="O6" s="31" t="str">
        <ns0:f>IF($B6=FALSE,"не выбрана",IF($G$1="","нет маршрута",INDEX('ДЛ'!O$1:O$2,$G$1)))</ns0:f>
        <ns0:v>нет данных</ns0:v>
      </ns0:c>
      <ns0:c r="P6" s="31" t="str">
        <ns0:f>IF($B6=FALSE,"не выбрана",IF($G$1="","нет маршрута",INDEX('ДЛ'!P$1:P$2,$G$1)))</ns0:f>
        <ns0:v>нет данных</ns0:v>
      </ns0:c>
      <ns0:c r="Q6" s="31" t="str">
        <ns0:f>IF($B6=FALSE,"не выбрана",IF($G$1="","нет маршрута",INDEX('ДЛ'!Q$1:Q$2,$G$1)))</ns0:f>
        <ns0:v>нет данных</ns0:v>
      </ns0:c>
      <ns0:c r="R6" s="31" t="str">
        <ns0:f>IF($B6=FALSE,"не выбрана",IF($G$1="","нет маршрута",INDEX('ДЛ'!R$1:R$2,$G$1)))</ns0:f>
        <ns0:v>нет данных</ns0:v>
      </ns0:c>
      <ns0:c r="S6" s="31" t="str">
        <ns0:f>IF($B6=FALSE,"не выбрана",IF($G$1="","нет маршрута",INDEX('ДЛ'!S$1:S$2,$G$1)))</ns0:f>
        <ns0:v>нет данных</ns0:v>
      </ns0:c>
      <ns0:c r="T6" s="31" t="str">
        <ns0:f>IF($B6=FALSE,"не выбрана",IF($G$1="","нет маршрута",INDEX('ДЛ'!T$1:T$2,$G$1)))</ns0:f>
        <ns0:v>нет данных</ns0:v>
      </ns0:c>
      <ns0:c r="U6" s="31" t="str">
        <ns0:f>IF($B6=FALSE,"не выбрана",IF($G$1="","нет маршрута",INDEX('ДЛ'!U$1:U$2,$G$1)))</ns0:f>
        <ns0:v>нет данных</ns0:v>
      </ns0:c>
      <ns0:c r="V6" s="31" t="str">
        <ns0:f>IF($B6=FALSE,"не выбрана",IF($G$1="","нет маршрута",INDEX('ДЛ'!V$1:V$2,$G$1)))</ns0:f>
        <ns0:v>нет данных</ns0:v>
      </ns0:c>
      <ns0:c r="W6" s="31" t="str">
        <ns0:f>IF($B6=FALSE,"не выбрана",IF($G$1="","нет маршрута",INDEX('ДЛ'!W$1:W$2,$G$1)))</ns0:f>
        <ns0:v>нет данных</ns0:v>
      </ns0:c>
      <ns0:c r="X6" s="31" t="str">
        <ns0:f>IF($B6=FALSE,"не выбрана",IF($G$1="","нет маршрута",INDEX('ДЛ'!X$1:X$2,$G$1)))</ns0:f>
        <ns0:v>нет данных</ns0:v>
      </ns0:c>
      <ns0:c r="Y6" s="31" t="str">
        <ns0:f>IF($B6=FALSE,"не выбрана",IF($G$1="","нет маршрута",INDEX('ДЛ'!Y$1:Y$2,$G$1)))</ns0:f>
        <ns0:v>нет данных</ns0:v>
      </ns0:c>
      <ns0:c r="Z6" s="31" t="str">
        <ns0:f>IF($B6=FALSE,"не выбрана",IF($G$1="","нет маршрута",INDEX('ДЛ'!Z$1:Z$2,$G$1)))</ns0:f>
        <ns0:v>нет данных</ns0:v>
      </ns0:c>
      <ns0:c r="AA6" s="31" t="str">
        <ns0:f>IF($B6=FALSE,"не выбрана",IF($G$1="","нет маршрута",INDEX('ДЛ'!AA$1:AA$2,$G$1)))</ns0:f>
        <ns0:v>нет данных</ns0:v>
      </ns0:c>
      <ns0:c r="AB6" s="31" t="str">
        <ns0:f>IF($B6=FALSE,"не выбрана",IF($G$1="","нет маршрута",INDEX('ДЛ'!AB$1:AB$2,$G$1)))</ns0:f>
        <ns0:v>нет данных</ns0:v>
      </ns0:c>
      <ns0:c r="AC6" s="31" t="str">
        <ns0:f>IF($B6=FALSE,"не выбрана",IF($G$1="","нет маршрута",INDEX('ДЛ'!AC$1:AC$2,$G$1)))</ns0:f>
        <ns0:v>нет данных</ns0:v>
      </ns0:c>
      <ns0:c r="AD6" s="31" t="str">
        <ns0:f>IF($B6=FALSE,"не выбрана",IF($G$1="","нет маршрута",INDEX('ДЛ'!AD$1:AD$2,$G$1)))</ns0:f>
        <ns0:v>нет данных</ns0:v>
      </ns0:c>
      <ns0:c r="AE6" s="31" t="str">
        <ns0:f>IF($B6=FALSE,"не выбрана",IF($G$1="","нет маршрута",INDEX('ДЛ'!AE$1:AE$2,$G$1)))</ns0:f>
        <ns0:v>нет данных</ns0:v>
      </ns0:c>
      <ns0:c r="AF6" s="31" t="str">
        <ns0:f>IF($B6=FALSE,"не выбрана",IF($G$1="","нет маршрута",INDEX('ДЛ'!AF$1:AF$2,$G$1)))</ns0:f>
        <ns0:v>нет данных</ns0:v>
      </ns0:c>
      <ns0:c r="AG6" s="31" t="n"/>
      <ns0:c r="AH6" s="31" t="n"/>
      <ns0:c r="AI6" s="31" t="n"/>
      <ns0:c r="AJ6" s="31" t="n"/>
      <ns0:c r="AK6" s="31" t="n"/>
      <ns0:c r="AL6" s="31" t="n"/>
      <ns0:c r="AM6" s="31" t="n"/>
      <ns0:c r="AN6" s="31" t="n"/>
      <ns0:c r="AO6" s="31" t="n"/>
      <ns0:c r="AP6" s="31" t="n"/>
      <ns0:c r="AQ6" s="31" t="n"/>
      <ns0:c r="AR6" s="31" t="n"/>
      <ns0:c r="AS6" s="31" t="n"/>
      <ns0:c r="AT6" s="31" t="n"/>
      <ns0:c r="AU6" s="31" t="n"/>
      <ns0:c r="AV6" s="31" t="n"/>
      <ns0:c r="AW6" s="31" t="n"/>
      <ns0:c r="AX6" s="31" t="n"/>
      <ns0:c r="AY6" s="31" t="n"/>
      <ns0:c r="AZ6" s="31" t="n"/>
      <ns0:c r="BA6" s="31" t="n"/>
      <ns0:c r="BB6" s="31" t="n"/>
      <ns0:c r="BC6" s="31" t="n"/>
      <ns0:c r="BD6" s="31" t="n"/>
      <ns0:c r="BE6" s="31" t="n"/>
      <ns0:c r="BF6" s="31" t="n"/>
      <ns0:c r="BG6" s="31" t="n"/>
      <ns0:c r="BH6" s="31" t="n"/>
      <ns0:c r="BI6" s="31" t="n"/>
      <ns0:c r="BJ6" s="31" t="n"/>
      <ns0:c r="BK6" s="31" t="n"/>
    </ns0:row>
    <ns0:row r="7">
      <ns0:c r="A7" s="31" t="inlineStr">
        <ns0:is>
          <ns0:t>ПЭК</ns0:t>
        </ns0:is>
      </ns0:c>
      <ns0:c r="B7" s="31" t="b">
        <ns0:f>'Графики'!C22</ns0:f>
        <ns0:v>1</ns0:v>
      </ns0:c>
      <ns0:c r="C7" s="31" t="n"/>
      <ns0:c r="D7" s="31" t="str">
        <ns0:f>IF($B7=FALSE,"не выбрана",IF($G$1="","нет маршрута",INDEX('ПЭК'!D$1:D$2,$G$1)))</ns0:f>
        <ns0:v>нет данных</ns0:v>
      </ns0:c>
      <ns0:c r="E7" s="31" t="str">
        <ns0:f>IF($B7=FALSE,"не выбрана",IF($G$1="","нет маршрута",INDEX('ПЭК'!E$1:E$2,$G$1)))</ns0:f>
        <ns0:v>нет данных</ns0:v>
      </ns0:c>
      <ns0:c r="F7" s="31" t="str">
        <ns0:f>IF($B7=FALSE,"не выбрана",IF($G$1="","нет маршрута",INDEX('ПЭК'!F$1:F$2,$G$1)))</ns0:f>
        <ns0:v>нет данных</ns0:v>
      </ns0:c>
      <ns0:c r="G7" s="31" t="str">
        <ns0:f>IF($B7=FALSE,"не выбрана",IF($G$1="","нет маршрута",INDEX('ПЭК'!G$1:G$2,$G$1)))</ns0:f>
        <ns0:v>нет данных</ns0:v>
      </ns0:c>
      <ns0:c r="H7" s="31" t="str">
        <ns0:f>IF($B7=FALSE,"не выбрана",IF($G$1="","нет маршрута",INDEX('ПЭК'!H$1:H$2,$G$1)))</ns0:f>
        <ns0:v>нет данных</ns0:v>
      </ns0:c>
      <ns0:c r="I7" s="31" t="str">
        <ns0:f>IF($B7=FALSE,"не выбрана",IF($G$1="","нет маршрута",INDEX('ПЭК'!I$1:I$2,$G$1)))</ns0:f>
        <ns0:v>нет данных</ns0:v>
      </ns0:c>
      <ns0:c r="J7" s="31" t="str">
        <ns0:f>IF($B7=FALSE,"не выбрана",IF($G$1="","нет маршрута",INDEX('ПЭК'!J$1:J$2,$G$1)))</ns0:f>
        <ns0:v>нет данных</ns0:v>
      </ns0:c>
      <ns0:c r="K7" s="31" t="str">
        <ns0:f>IF($B7=FALSE,"не выбрана",IF($G$1="","нет маршрута",INDEX('ПЭК'!K$1:K$2,$G$1)))</ns0:f>
        <ns0:v>нет данных</ns0:v>
      </ns0:c>
      <ns0:c r="L7" s="31" t="str">
        <ns0:f>IF($B7=FALSE,"не выбрана",IF($G$1="","нет маршрута",INDEX('ПЭК'!L$1:L$2,$G$1)))</ns0:f>
        <ns0:v>нет данных</ns0:v>
      </ns0:c>
      <ns0:c r="M7" s="31" t="str">
        <ns0:f>IF($B7=FALSE,"не выбрана",IF($G$1="","нет маршрута",INDEX('ПЭК'!M$1:M$2,$G$1)))</ns0:f>
        <ns0:v>нет данных</ns0:v>
      </ns0:c>
      <ns0:c r="N7" s="31" t="str">
        <ns0:f>IF($B7=FALSE,"не выбрана",IF($G$1="","нет маршрута",INDEX('ПЭК'!N$1:N$2,$G$1)))</ns0:f>
        <ns0:v>нет данных</ns0:v>
      </ns0:c>
      <ns0:c r="O7" s="31" t="str">
        <ns0:f>IF($B7=FALSE,"не выбрана",IF($G$1="","нет маршрута",INDEX('ПЭК'!O$1:O$2,$G$1)))</ns0:f>
        <ns0:v>нет данных</ns0:v>
      </ns0:c>
      <ns0:c r="P7" s="31" t="str">
        <ns0:f>IF($B7=FALSE,"не выбрана",IF($G$1="","нет маршрута",INDEX('ПЭК'!P$1:P$2,$G$1)))</ns0:f>
        <ns0:v>нет данных</ns0:v>
      </ns0:c>
      <ns0:c r="Q7" s="31" t="str">
        <ns0:f>IF($B7=FALSE,"не выбрана",IF($G$1="","нет маршрута",INDEX('ПЭК'!Q$1:Q$2,$G$1)))</ns0:f>
        <ns0:v>нет данных</ns0:v>
      </ns0:c>
      <ns0:c r="R7" s="31" t="str">
        <ns0:f>IF($B7=FALSE,"не выбрана",IF($G$1="","нет маршрута",INDEX('ПЭК'!R$1:R$2,$G$1)))</ns0:f>
        <ns0:v>нет данных</ns0:v>
      </ns0:c>
      <ns0:c r="S7" s="31" t="str">
        <ns0:f>IF($B7=FALSE,"не выбрана",IF($G$1="","нет маршрута",INDEX('ПЭК'!S$1:S$2,$G$1)))</ns0:f>
        <ns0:v>нет данных</ns0:v>
      </ns0:c>
      <ns0:c r="T7" s="31" t="str">
        <ns0:f>IF($B7=FALSE,"не выбрана",IF($G$1="","нет маршрута",INDEX('ПЭК'!T$1:T$2,$G$1)))</ns0:f>
        <ns0:v>нет данных</ns0:v>
      </ns0:c>
      <ns0:c r="U7" s="31" t="str">
        <ns0:f>IF($B7=FALSE,"не выбрана",IF($G$1="","нет маршрута",INDEX('ПЭК'!U$1:U$2,$G$1)))</ns0:f>
        <ns0:v>нет данных</ns0:v>
      </ns0:c>
      <ns0:c r="V7" s="31" t="str">
        <ns0:f>IF($B7=FALSE,"не выбрана",IF($G$1="","нет маршрута",INDEX('ПЭК'!V$1:V$2,$G$1)))</ns0:f>
        <ns0:v>нет данных</ns0:v>
      </ns0:c>
      <ns0:c r="W7" s="31" t="str">
        <ns0:f>IF($B7=FALSE,"не выбрана",IF($G$1="","нет маршрута",INDEX('ПЭК'!W$1:W$2,$G$1)))</ns0:f>
        <ns0:v>нет данных</ns0:v>
      </ns0:c>
      <ns0:c r="X7" s="31" t="str">
        <ns0:f>IF($B7=FALSE,"не выбрана",IF($G$1="","нет маршрута",INDEX('ПЭК'!X$1:X$2,$G$1)))</ns0:f>
        <ns0:v>нет данных</ns0:v>
      </ns0:c>
      <ns0:c r="Y7" s="31" t="str">
        <ns0:f>IF($B7=FALSE,"не выбрана",IF($G$1="","нет маршрута",INDEX('ПЭК'!Y$1:Y$2,$G$1)))</ns0:f>
        <ns0:v>нет данных</ns0:v>
      </ns0:c>
      <ns0:c r="Z7" s="31" t="str">
        <ns0:f>IF($B7=FALSE,"не выбрана",IF($G$1="","нет маршрута",INDEX('ПЭК'!Z$1:Z$2,$G$1)))</ns0:f>
        <ns0:v>нет данных</ns0:v>
      </ns0:c>
      <ns0:c r="AA7" s="31" t="str">
        <ns0:f>IF($B7=FALSE,"не выбрана",IF($G$1="","нет маршрута",INDEX('ПЭК'!AA$1:AA$2,$G$1)))</ns0:f>
        <ns0:v>нет данных</ns0:v>
      </ns0:c>
      <ns0:c r="AB7" s="31" t="str">
        <ns0:f>IF($B7=FALSE,"не выбрана",IF($G$1="","нет маршрута",INDEX('ПЭК'!AB$1:AB$2,$G$1)))</ns0:f>
        <ns0:v>нет данных</ns0:v>
      </ns0:c>
      <ns0:c r="AC7" s="31" t="str">
        <ns0:f>IF($B7=FALSE,"не выбрана",IF($G$1="","нет маршрута",INDEX('ПЭК'!AC$1:AC$2,$G$1)))</ns0:f>
        <ns0:v>нет данных</ns0:v>
      </ns0:c>
      <ns0:c r="AD7" s="31" t="str">
        <ns0:f>IF($B7=FALSE,"не выбрана",IF($G$1="","нет маршрута",INDEX('ПЭК'!AD$1:AD$2,$G$1)))</ns0:f>
        <ns0:v>нет данных</ns0:v>
      </ns0:c>
      <ns0:c r="AE7" s="31" t="str">
        <ns0:f>IF($B7=FALSE,"не выбрана",IF($G$1="","нет маршрута",INDEX('ПЭК'!AE$1:AE$2,$G$1)))</ns0:f>
        <ns0:v>нет данных</ns0:v>
      </ns0:c>
      <ns0:c r="AF7" s="31" t="str">
        <ns0:f>IF($B7=FALSE,"не выбрана",IF($G$1="","нет маршрута",INDEX('ПЭК'!AF$1:AF$2,$G$1)))</ns0:f>
        <ns0:v>нет данных</ns0:v>
      </ns0:c>
      <ns0:c r="AG7" s="31" t="n"/>
      <ns0:c r="AH7" s="31" t="n"/>
      <ns0:c r="AI7" s="31" t="n"/>
      <ns0:c r="AJ7" s="31" t="n"/>
      <ns0:c r="AK7" s="31" t="n"/>
      <ns0:c r="AL7" s="31" t="n"/>
      <ns0:c r="AM7" s="31" t="n"/>
      <ns0:c r="AN7" s="31" t="n"/>
      <ns0:c r="AO7" s="31" t="n"/>
      <ns0:c r="AP7" s="31" t="n"/>
      <ns0:c r="AQ7" s="31" t="n"/>
      <ns0:c r="AR7" s="31" t="n"/>
      <ns0:c r="AS7" s="31" t="n"/>
      <ns0:c r="AT7" s="31" t="n"/>
      <ns0:c r="AU7" s="31" t="n"/>
      <ns0:c r="AV7" s="31" t="n"/>
      <ns0:c r="AW7" s="31" t="n"/>
      <ns0:c r="AX7" s="31" t="n"/>
      <ns0:c r="AY7" s="31" t="n"/>
      <ns0:c r="AZ7" s="31" t="n"/>
      <ns0:c r="BA7" s="31" t="n"/>
      <ns0:c r="BB7" s="31" t="n"/>
      <ns0:c r="BC7" s="31" t="n"/>
      <ns0:c r="BD7" s="31" t="n"/>
      <ns0:c r="BE7" s="31" t="n"/>
      <ns0:c r="BF7" s="31" t="n"/>
      <ns0:c r="BG7" s="31" t="n"/>
      <ns0:c r="BH7" s="31" t="n"/>
      <ns0:c r="BI7" s="31" t="n"/>
      <ns0:c r="BJ7" s="31" t="n"/>
      <ns0:c r="BK7" s="31" t="n"/>
    </ns0:row>
    <ns0:row r="8">
      <ns0:c r="A8" s="31" t="inlineStr">
        <ns0:is>
          <ns0:t>КИТ</ns0:t>
        </ns0:is>
      </ns0:c>
      <ns0:c r="B8" s="31" t="b">
        <ns0:f>'Графики'!C23</ns0:f>
        <ns0:v>1</ns0:v>
      </ns0:c>
      <ns0:c r="C8" s="31" t="n"/>
      <ns0:c r="D8" s="31">
        <ns0:f>IF($B8=FALSE,"не выбрана",IF($G$1="","нет маршрута",INDEX('КИТ'!D$1:D$2,$G$1)))</ns0:f>
        <ns0:v>680.0</ns0:v>
      </ns0:c>
      <ns0:c r="E8" s="31">
        <ns0:f>IF($B8=FALSE,"не выбрана",IF($G$1="","нет маршрута",INDEX('КИТ'!E$1:E$2,$G$1)))</ns0:f>
        <ns0:v>800.0</ns0:v>
      </ns0:c>
      <ns0:c r="F8" s="31">
        <ns0:f>IF($B8=FALSE,"не выбрана",IF($G$1="","нет маршрута",INDEX('КИТ'!F$1:F$2,$G$1)))</ns0:f>
        <ns0:v>800.0</ns0:v>
      </ns0:c>
      <ns0:c r="G8" s="31">
        <ns0:f>IF($B8=FALSE,"не выбрана",IF($G$1="","нет маршрута",INDEX('КИТ'!G$1:G$2,$G$1)))</ns0:f>
        <ns0:v>920.0</ns0:v>
      </ns0:c>
      <ns0:c r="H8" s="31">
        <ns0:f>IF($B8=FALSE,"не выбрана",IF($G$1="","нет маршрута",INDEX('КИТ'!H$1:H$2,$G$1)))</ns0:f>
        <ns0:v>920.0</ns0:v>
      </ns0:c>
      <ns0:c r="I8" s="31">
        <ns0:f>IF($B8=FALSE,"не выбрана",IF($G$1="","нет маршрута",INDEX('КИТ'!I$1:I$2,$G$1)))</ns0:f>
        <ns0:v>1000.0</ns0:v>
      </ns0:c>
      <ns0:c r="J8" s="31">
        <ns0:f>IF($B8=FALSE,"не выбрана",IF($G$1="","нет маршрута",INDEX('КИТ'!J$1:J$2,$G$1)))</ns0:f>
        <ns0:v>1000.0</ns0:v>
      </ns0:c>
      <ns0:c r="K8" s="31">
        <ns0:f>IF($B8=FALSE,"не выбрана",IF($G$1="","нет маршрута",INDEX('КИТ'!K$1:K$2,$G$1)))</ns0:f>
        <ns0:v>732.0</ns0:v>
      </ns0:c>
      <ns0:c r="L8" s="31">
        <ns0:f>IF($B8=FALSE,"не выбрана",IF($G$1="","нет маршрута",INDEX('КИТ'!L$1:L$2,$G$1)))</ns0:f>
        <ns0:v>915.0</ns0:v>
      </ns0:c>
      <ns0:c r="M8" s="31">
        <ns0:f>IF($B8=FALSE,"не выбрана",IF($G$1="","нет маршрута",INDEX('КИТ'!M$1:M$2,$G$1)))</ns0:f>
        <ns0:v>680.0</ns0:v>
      </ns0:c>
      <ns0:c r="N8" s="31">
        <ns0:f>IF($B8=FALSE,"не выбрана",IF($G$1="","нет маршрута",INDEX('КИТ'!N$1:N$2,$G$1)))</ns0:f>
        <ns0:v>18.2</ns0:v>
      </ns0:c>
      <ns0:c r="O8" s="31">
        <ns0:f>IF($B8=FALSE,"не выбрана",IF($G$1="","нет маршрута",INDEX('КИТ'!O$1:O$2,$G$1)))</ns0:f>
        <ns0:v>18.0</ns0:v>
      </ns0:c>
      <ns0:c r="P8" s="31">
        <ns0:f>IF($B8=FALSE,"не выбрана",IF($G$1="","нет маршрута",INDEX('КИТ'!P$1:P$2,$G$1)))</ns0:f>
        <ns0:v>17.7</ns0:v>
      </ns0:c>
      <ns0:c r="Q8" s="31">
        <ns0:f>IF($B8=FALSE,"не выбрана",IF($G$1="","нет маршрута",INDEX('КИТ'!Q$1:Q$2,$G$1)))</ns0:f>
        <ns0:v>17.7</ns0:v>
      </ns0:c>
      <ns0:c r="R8" s="31">
        <ns0:f>IF($B8=FALSE,"не выбрана",IF($G$1="","нет маршрута",INDEX('КИТ'!R$1:R$2,$G$1)))</ns0:f>
        <ns0:v>17.7</ns0:v>
      </ns0:c>
      <ns0:c r="S8" s="31">
        <ns0:f>IF($B8=FALSE,"не выбрана",IF($G$1="","нет маршрута",INDEX('КИТ'!S$1:S$2,$G$1)))</ns0:f>
        <ns0:v>17.5</ns0:v>
      </ns0:c>
      <ns0:c r="T8" s="31">
        <ns0:f>IF($B8=FALSE,"не выбрана",IF($G$1="","нет маршрута",INDEX('КИТ'!T$1:T$2,$G$1)))</ns0:f>
        <ns0:v>17.5</ns0:v>
      </ns0:c>
      <ns0:c r="U8" s="31">
        <ns0:f>IF($B8=FALSE,"не выбрана",IF($G$1="","нет маршрута",INDEX('КИТ'!U$1:U$2,$G$1)))</ns0:f>
        <ns0:v>17.5</ns0:v>
      </ns0:c>
      <ns0:c r="V8" s="31">
        <ns0:f>IF($B8=FALSE,"не выбрана",IF($G$1="","нет маршрута",INDEX('КИТ'!V$1:V$2,$G$1)))</ns0:f>
        <ns0:v>17.5</ns0:v>
      </ns0:c>
      <ns0:c r="W8" s="31">
        <ns0:f>IF($B8=FALSE,"не выбрана",IF($G$1="","нет маршрута",INDEX('КИТ'!W$1:W$2,$G$1)))</ns0:f>
        <ns0:v>17.5</ns0:v>
      </ns0:c>
      <ns0:c r="X8" s="31">
        <ns0:f>IF($B8=FALSE,"не выбрана",IF($G$1="","нет маршрута",INDEX('КИТ'!X$1:X$2,$G$1)))</ns0:f>
        <ns0:v>17.1</ns0:v>
      </ns0:c>
      <ns0:c r="Y8" s="31">
        <ns0:f>IF($B8=FALSE,"не выбрана",IF($G$1="","нет маршрута",INDEX('КИТ'!Y$1:Y$2,$G$1)))</ns0:f>
        <ns0:v>17.1</ns0:v>
      </ns0:c>
      <ns0:c r="Z8" s="31">
        <ns0:f>IF($B8=FALSE,"не выбрана",IF($G$1="","нет маршрута",INDEX('КИТ'!Z$1:Z$2,$G$1)))</ns0:f>
        <ns0:v>16.8</ns0:v>
      </ns0:c>
      <ns0:c r="AA8" s="31">
        <ns0:f>IF($B8=FALSE,"не выбрана",IF($G$1="","нет маршрута",INDEX('КИТ'!AA$1:AA$2,$G$1)))</ns0:f>
        <ns0:v>16.7</ns0:v>
      </ns0:c>
      <ns0:c r="AB8" s="31">
        <ns0:f>IF($B8=FALSE,"не выбрана",IF($G$1="","нет маршрута",INDEX('КИТ'!AB$1:AB$2,$G$1)))</ns0:f>
        <ns0:v>16.7</ns0:v>
      </ns0:c>
      <ns0:c r="AC8" s="31">
        <ns0:f>IF($B8=FALSE,"не выбрана",IF($G$1="","нет маршрута",INDEX('КИТ'!AC$1:AC$2,$G$1)))</ns0:f>
        <ns0:v>16.7</ns0:v>
      </ns0:c>
      <ns0:c r="AD8" s="31">
        <ns0:f>IF($B8=FALSE,"не выбрана",IF($G$1="","нет маршрута",INDEX('КИТ'!AD$1:AD$2,$G$1)))</ns0:f>
        <ns0:v>16.7</ns0:v>
      </ns0:c>
      <ns0:c r="AE8" s="31">
        <ns0:f>IF($B8=FALSE,"не выбрана",IF($G$1="","нет маршрута",INDEX('КИТ'!AE$1:AE$2,$G$1)))</ns0:f>
        <ns0:v>16.7</ns0:v>
      </ns0:c>
      <ns0:c r="AF8" s="31">
        <ns0:f>IF($B8=FALSE,"не выбрана",IF($G$1="","нет маршрута",INDEX('КИТ'!AF$1:AF$2,$G$1)))</ns0:f>
        <ns0:v>16.7</ns0:v>
      </ns0:c>
      <ns0:c r="AG8" s="31" t="n"/>
      <ns0:c r="AH8" s="31" t="n"/>
      <ns0:c r="AI8" s="31" t="n"/>
      <ns0:c r="AJ8" s="31" t="n"/>
      <ns0:c r="AK8" s="31" t="n"/>
      <ns0:c r="AL8" s="31" t="n"/>
      <ns0:c r="AM8" s="31" t="n"/>
      <ns0:c r="AN8" s="31" t="n"/>
      <ns0:c r="AO8" s="31" t="n"/>
      <ns0:c r="AP8" s="31" t="n"/>
      <ns0:c r="AQ8" s="31" t="n"/>
      <ns0:c r="AR8" s="31" t="n"/>
      <ns0:c r="AS8" s="31" t="n"/>
      <ns0:c r="AT8" s="31" t="n"/>
      <ns0:c r="AU8" s="31" t="n"/>
      <ns0:c r="AV8" s="31" t="n"/>
      <ns0:c r="AW8" s="31" t="n"/>
      <ns0:c r="AX8" s="31" t="n"/>
      <ns0:c r="AY8" s="31" t="n"/>
      <ns0:c r="AZ8" s="31" t="n"/>
      <ns0:c r="BA8" s="31" t="n"/>
      <ns0:c r="BB8" s="31" t="n"/>
      <ns0:c r="BC8" s="31" t="n"/>
      <ns0:c r="BD8" s="31" t="n"/>
      <ns0:c r="BE8" s="31" t="n"/>
      <ns0:c r="BF8" s="31" t="n"/>
      <ns0:c r="BG8" s="31" t="n"/>
      <ns0:c r="BH8" s="31" t="n"/>
      <ns0:c r="BI8" s="31" t="n"/>
      <ns0:c r="BJ8" s="31" t="n"/>
      <ns0:c r="BK8" s="31" t="n"/>
    </ns0:row>
    <ns0:row r="9">
      <ns0:c r="A9" s="31" t="inlineStr">
        <ns0:is>
          <ns0:t>Возовоз</ns0:t>
        </ns0:is>
      </ns0:c>
      <ns0:c r="B9" s="31" t="b">
        <ns0:f>'Графики'!C24</ns0:f>
        <ns0:v>1</ns0:v>
      </ns0:c>
      <ns0:c r="C9" s="31" t="n"/>
      <ns0:c r="D9" s="31" t="str">
        <ns0:f>IF($B9=FALSE,"не выбрана",IF($G$1="","нет маршрута",INDEX('Возовоз'!D$1:D$2,$G$1)))</ns0:f>
        <ns0:v>нет данных</ns0:v>
      </ns0:c>
      <ns0:c r="E9" s="31" t="str">
        <ns0:f>IF($B9=FALSE,"не выбрана",IF($G$1="","нет маршрута",INDEX('Возовоз'!E$1:E$2,$G$1)))</ns0:f>
        <ns0:v>нет данных</ns0:v>
      </ns0:c>
      <ns0:c r="F9" s="31" t="str">
        <ns0:f>IF($B9=FALSE,"не выбрана",IF($G$1="","нет маршрута",INDEX('Возовоз'!F$1:F$2,$G$1)))</ns0:f>
        <ns0:v>нет данных</ns0:v>
      </ns0:c>
      <ns0:c r="G9" s="31" t="str">
        <ns0:f>IF($B9=FALSE,"не выбрана",IF($G$1="","нет маршрута",INDEX('Возовоз'!G$1:G$2,$G$1)))</ns0:f>
        <ns0:v>нет данных</ns0:v>
      </ns0:c>
      <ns0:c r="H9" s="31" t="str">
        <ns0:f>IF($B9=FALSE,"не выбрана",IF($G$1="","нет маршрута",INDEX('Возовоз'!H$1:H$2,$G$1)))</ns0:f>
        <ns0:v>нет данных</ns0:v>
      </ns0:c>
      <ns0:c r="I9" s="31" t="str">
        <ns0:f>IF($B9=FALSE,"не выбрана",IF($G$1="","нет маршрута",INDEX('Возовоз'!I$1:I$2,$G$1)))</ns0:f>
        <ns0:v>нет данных</ns0:v>
      </ns0:c>
      <ns0:c r="J9" s="31" t="str">
        <ns0:f>IF($B9=FALSE,"не выбрана",IF($G$1="","нет маршрута",INDEX('Возовоз'!J$1:J$2,$G$1)))</ns0:f>
        <ns0:v>нет данных</ns0:v>
      </ns0:c>
      <ns0:c r="K9" s="31" t="str">
        <ns0:f>IF($B9=FALSE,"не выбрана",IF($G$1="","нет маршрута",INDEX('Возовоз'!K$1:K$2,$G$1)))</ns0:f>
        <ns0:v>нет данных</ns0:v>
      </ns0:c>
      <ns0:c r="L9" s="31" t="str">
        <ns0:f>IF($B9=FALSE,"не выбрана",IF($G$1="","нет маршрута",INDEX('Возовоз'!L$1:L$2,$G$1)))</ns0:f>
        <ns0:v>нет данных</ns0:v>
      </ns0:c>
      <ns0:c r="M9" s="31">
        <ns0:f>IF($B9=FALSE,"не выбрана",IF($G$1="","нет маршрута",INDEX('Возовоз'!M$1:M$2,$G$1)))</ns0:f>
        <ns0:v>1980.0</ns0:v>
      </ns0:c>
      <ns0:c r="N9" s="31" t="str">
        <ns0:f>IF($B9=FALSE,"не выбрана",IF($G$1="","нет маршрута",INDEX('Возовоз'!N$1:N$2,$G$1)))</ns0:f>
        <ns0:v>нет данных</ns0:v>
      </ns0:c>
      <ns0:c r="O9" s="31" t="str">
        <ns0:f>IF($B9=FALSE,"не выбрана",IF($G$1="","нет маршрута",INDEX('Возовоз'!O$1:O$2,$G$1)))</ns0:f>
        <ns0:v>нет данных</ns0:v>
      </ns0:c>
      <ns0:c r="P9" s="31" t="str">
        <ns0:f>IF($B9=FALSE,"не выбрана",IF($G$1="","нет маршрута",INDEX('Возовоз'!P$1:P$2,$G$1)))</ns0:f>
        <ns0:v>нет данных</ns0:v>
      </ns0:c>
      <ns0:c r="Q9" s="31" t="str">
        <ns0:f>IF($B9=FALSE,"не выбрана",IF($G$1="","нет маршрута",INDEX('Возовоз'!Q$1:Q$2,$G$1)))</ns0:f>
        <ns0:v>нет данных</ns0:v>
      </ns0:c>
      <ns0:c r="R9" s="31" t="str">
        <ns0:f>IF($B9=FALSE,"не выбрана",IF($G$1="","нет маршрута",INDEX('Возовоз'!R$1:R$2,$G$1)))</ns0:f>
        <ns0:v>нет данных</ns0:v>
      </ns0:c>
      <ns0:c r="S9" s="31" t="str">
        <ns0:f>IF($B9=FALSE,"не выбрана",IF($G$1="","нет маршрута",INDEX('Возовоз'!S$1:S$2,$G$1)))</ns0:f>
        <ns0:v>нет данных</ns0:v>
      </ns0:c>
      <ns0:c r="T9" s="31" t="str">
        <ns0:f>IF($B9=FALSE,"не выбрана",IF($G$1="","нет маршрута",INDEX('Возовоз'!T$1:T$2,$G$1)))</ns0:f>
        <ns0:v>нет данных</ns0:v>
      </ns0:c>
      <ns0:c r="U9" s="31" t="str">
        <ns0:f>IF($B9=FALSE,"не выбрана",IF($G$1="","нет маршрута",INDEX('Возовоз'!U$1:U$2,$G$1)))</ns0:f>
        <ns0:v>нет данных</ns0:v>
      </ns0:c>
      <ns0:c r="V9" s="31" t="str">
        <ns0:f>IF($B9=FALSE,"не выбрана",IF($G$1="","нет маршрута",INDEX('Возовоз'!V$1:V$2,$G$1)))</ns0:f>
        <ns0:v>нет данных</ns0:v>
      </ns0:c>
      <ns0:c r="W9" s="31" t="str">
        <ns0:f>IF($B9=FALSE,"не выбрана",IF($G$1="","нет маршрута",INDEX('Возовоз'!W$1:W$2,$G$1)))</ns0:f>
        <ns0:v>нет данных</ns0:v>
      </ns0:c>
      <ns0:c r="X9" s="31" t="str">
        <ns0:f>IF($B9=FALSE,"не выбрана",IF($G$1="","нет маршрута",INDEX('Возовоз'!X$1:X$2,$G$1)))</ns0:f>
        <ns0:v>нет данных</ns0:v>
      </ns0:c>
      <ns0:c r="Y9" s="31" t="str">
        <ns0:f>IF($B9=FALSE,"не выбрана",IF($G$1="","нет маршрута",INDEX('Возовоз'!Y$1:Y$2,$G$1)))</ns0:f>
        <ns0:v>нет данных</ns0:v>
      </ns0:c>
      <ns0:c r="Z9" s="31" t="str">
        <ns0:f>IF($B9=FALSE,"не выбрана",IF($G$1="","нет маршрута",INDEX('Возовоз'!Z$1:Z$2,$G$1)))</ns0:f>
        <ns0:v>нет данных</ns0:v>
      </ns0:c>
      <ns0:c r="AA9" s="31" t="str">
        <ns0:f>IF($B9=FALSE,"не выбрана",IF($G$1="","нет маршрута",INDEX('Возовоз'!AA$1:AA$2,$G$1)))</ns0:f>
        <ns0:v>нет данных</ns0:v>
      </ns0:c>
      <ns0:c r="AB9" s="31" t="str">
        <ns0:f>IF($B9=FALSE,"не выбрана",IF($G$1="","нет маршрута",INDEX('Возовоз'!AB$1:AB$2,$G$1)))</ns0:f>
        <ns0:v>нет данных</ns0:v>
      </ns0:c>
      <ns0:c r="AC9" s="31" t="str">
        <ns0:f>IF($B9=FALSE,"не выбрана",IF($G$1="","нет маршрута",INDEX('Возовоз'!AC$1:AC$2,$G$1)))</ns0:f>
        <ns0:v>нет данных</ns0:v>
      </ns0:c>
      <ns0:c r="AD9" s="31" t="str">
        <ns0:f>IF($B9=FALSE,"не выбрана",IF($G$1="","нет маршрута",INDEX('Возовоз'!AD$1:AD$2,$G$1)))</ns0:f>
        <ns0:v>нет данных</ns0:v>
      </ns0:c>
      <ns0:c r="AE9" s="31" t="str">
        <ns0:f>IF($B9=FALSE,"не выбрана",IF($G$1="","нет маршрута",INDEX('Возовоз'!AE$1:AE$2,$G$1)))</ns0:f>
        <ns0:v>нет данных</ns0:v>
      </ns0:c>
      <ns0:c r="AF9" s="31" t="str">
        <ns0:f>IF($B9=FALSE,"не выбрана",IF($G$1="","нет маршрута",INDEX('Возовоз'!AF$1:AF$2,$G$1)))</ns0:f>
        <ns0:v>нет данных</ns0:v>
      </ns0:c>
      <ns0:c r="AG9" s="31" t="n"/>
      <ns0:c r="AH9" s="31" t="n"/>
      <ns0:c r="AI9" s="31" t="n"/>
      <ns0:c r="AJ9" s="31" t="n"/>
      <ns0:c r="AK9" s="31" t="n"/>
      <ns0:c r="AL9" s="31" t="n"/>
      <ns0:c r="AM9" s="31" t="n"/>
      <ns0:c r="AN9" s="31" t="n"/>
      <ns0:c r="AO9" s="31" t="n"/>
      <ns0:c r="AP9" s="31" t="n"/>
      <ns0:c r="AQ9" s="31" t="n"/>
      <ns0:c r="AR9" s="31" t="n"/>
      <ns0:c r="AS9" s="31" t="n"/>
      <ns0:c r="AT9" s="31" t="n"/>
      <ns0:c r="AU9" s="31" t="n"/>
      <ns0:c r="AV9" s="31" t="n"/>
      <ns0:c r="AW9" s="31" t="n"/>
      <ns0:c r="AX9" s="31" t="n"/>
      <ns0:c r="AY9" s="31" t="n"/>
      <ns0:c r="AZ9" s="31" t="n"/>
      <ns0:c r="BA9" s="31" t="n"/>
      <ns0:c r="BB9" s="31" t="n"/>
      <ns0:c r="BC9" s="31" t="n"/>
      <ns0:c r="BD9" s="31" t="n"/>
      <ns0:c r="BE9" s="31" t="n"/>
      <ns0:c r="BF9" s="31" t="n"/>
      <ns0:c r="BG9" s="31" t="n"/>
      <ns0:c r="BH9" s="31" t="n"/>
      <ns0:c r="BI9" s="31" t="n"/>
      <ns0:c r="BJ9" s="31" t="n"/>
      <ns0:c r="BK9" s="31" t="n"/>
    </ns0:row>
    <ns0:row r="10">
      <ns0:c r="A10" s="31" t="inlineStr">
        <ns0:is>
          <ns0:t>Мейджик</ns0:t>
        </ns0:is>
      </ns0:c>
      <ns0:c r="B10" s="31" t="b">
        <ns0:f>'Графики'!C25</ns0:f>
        <ns0:v>1</ns0:v>
      </ns0:c>
      <ns0:c r="C10" s="31" t="n"/>
      <ns0:c r="D10" s="31">
        <ns0:f>IF($B10=FALSE,"не выбрана",IF($G$1="","нет маршрута",INDEX('Мейджик'!D$1:D$2,$G$1)))</ns0:f>
        <ns0:v>500.0</ns0:v>
      </ns0:c>
      <ns0:c r="E10" s="31">
        <ns0:f>IF($B10=FALSE,"не выбрана",IF($G$1="","нет маршрута",INDEX('Мейджик'!E$1:E$2,$G$1)))</ns0:f>
        <ns0:v>600.0</ns0:v>
      </ns0:c>
      <ns0:c r="F10" s="31">
        <ns0:f>IF($B10=FALSE,"не выбрана",IF($G$1="","нет маршрута",INDEX('Мейджик'!F$1:F$2,$G$1)))</ns0:f>
        <ns0:v>600.0</ns0:v>
      </ns0:c>
      <ns0:c r="G10" s="31">
        <ns0:f>IF($B10=FALSE,"не выбрана",IF($G$1="","нет маршрута",INDEX('Мейджик'!G$1:G$2,$G$1)))</ns0:f>
        <ns0:v>700.0</ns0:v>
      </ns0:c>
      <ns0:c r="H10" s="31">
        <ns0:f>IF($B10=FALSE,"не выбрана",IF($G$1="","нет маршрута",INDEX('Мейджик'!H$1:H$2,$G$1)))</ns0:f>
        <ns0:v>700.0</ns0:v>
      </ns0:c>
      <ns0:c r="I10" s="31">
        <ns0:f>IF($B10=FALSE,"не выбрана",IF($G$1="","нет маршрута",INDEX('Мейджик'!I$1:I$2,$G$1)))</ns0:f>
        <ns0:v>700.0</ns0:v>
      </ns0:c>
      <ns0:c r="J10" s="31">
        <ns0:f>IF($B10=FALSE,"не выбрана",IF($G$1="","нет маршрута",INDEX('Мейджик'!J$1:J$2,$G$1)))</ns0:f>
        <ns0:v>700.0</ns0:v>
      </ns0:c>
      <ns0:c r="K10" s="31">
        <ns0:f>IF($B10=FALSE,"не выбрана",IF($G$1="","нет маршрута",INDEX('Мейджик'!K$1:K$2,$G$1)))</ns0:f>
        <ns0:v>700.0</ns0:v>
      </ns0:c>
      <ns0:c r="L10" s="31">
        <ns0:f>IF($B10=FALSE,"не выбрана",IF($G$1="","нет маршрута",INDEX('Мейджик'!L$1:L$2,$G$1)))</ns0:f>
        <ns0:v>745.0</ns0:v>
      </ns0:c>
      <ns0:c r="M10" s="31">
        <ns0:f>IF($B10=FALSE,"не выбрана",IF($G$1="","нет маршрута",INDEX('Мейджик'!M$1:M$2,$G$1)))</ns0:f>
        <ns0:v>500.0</ns0:v>
      </ns0:c>
      <ns0:c r="N10" s="31">
        <ns0:f>IF($B10=FALSE,"не выбрана",IF($G$1="","нет маршрута",INDEX('Мейджик'!N$1:N$2,$G$1)))</ns0:f>
        <ns0:v>14.9</ns0:v>
      </ns0:c>
      <ns0:c r="O10" s="31">
        <ns0:f>IF($B10=FALSE,"не выбрана",IF($G$1="","нет маршрута",INDEX('Мейджик'!O$1:O$2,$G$1)))</ns0:f>
        <ns0:v>14.9</ns0:v>
      </ns0:c>
      <ns0:c r="P10" s="31">
        <ns0:f>IF($B10=FALSE,"не выбрана",IF($G$1="","нет маршрута",INDEX('Мейджик'!P$1:P$2,$G$1)))</ns0:f>
        <ns0:v>14.9</ns0:v>
      </ns0:c>
      <ns0:c r="Q10" s="31">
        <ns0:f>IF($B10=FALSE,"не выбрана",IF($G$1="","нет маршрута",INDEX('Мейджик'!Q$1:Q$2,$G$1)))</ns0:f>
        <ns0:v>14.2</ns0:v>
      </ns0:c>
      <ns0:c r="R10" s="31">
        <ns0:f>IF($B10=FALSE,"не выбрана",IF($G$1="","нет маршрута",INDEX('Мейджик'!R$1:R$2,$G$1)))</ns0:f>
        <ns0:v>14.2</ns0:v>
      </ns0:c>
      <ns0:c r="S10" s="31">
        <ns0:f>IF($B10=FALSE,"не выбрана",IF($G$1="","нет маршрута",INDEX('Мейджик'!S$1:S$2,$G$1)))</ns0:f>
        <ns0:v>14.2</ns0:v>
      </ns0:c>
      <ns0:c r="T10" s="31">
        <ns0:f>IF($B10=FALSE,"не выбрана",IF($G$1="","нет маршрута",INDEX('Мейджик'!T$1:T$2,$G$1)))</ns0:f>
        <ns0:v>14.2</ns0:v>
      </ns0:c>
      <ns0:c r="U10" s="31">
        <ns0:f>IF($B10=FALSE,"не выбрана",IF($G$1="","нет маршрута",INDEX('Мейджик'!U$1:U$2,$G$1)))</ns0:f>
        <ns0:v>14.2</ns0:v>
      </ns0:c>
      <ns0:c r="V10" s="31">
        <ns0:f>IF($B10=FALSE,"не выбрана",IF($G$1="","нет маршрута",INDEX('Мейджик'!V$1:V$2,$G$1)))</ns0:f>
        <ns0:v>14.2</ns0:v>
      </ns0:c>
      <ns0:c r="W10" s="31">
        <ns0:f>IF($B10=FALSE,"не выбрана",IF($G$1="","нет маршрута",INDEX('Мейджик'!W$1:W$2,$G$1)))</ns0:f>
        <ns0:v>14.0</ns0:v>
      </ns0:c>
      <ns0:c r="X10" s="31">
        <ns0:f>IF($B10=FALSE,"не выбрана",IF($G$1="","нет маршрута",INDEX('Мейджик'!X$1:X$2,$G$1)))</ns0:f>
        <ns0:v>14.0</ns0:v>
      </ns0:c>
      <ns0:c r="Y10" s="31">
        <ns0:f>IF($B10=FALSE,"не выбрана",IF($G$1="","нет маршрута",INDEX('Мейджик'!Y$1:Y$2,$G$1)))</ns0:f>
        <ns0:v>14.0</ns0:v>
      </ns0:c>
      <ns0:c r="Z10" s="31">
        <ns0:f>IF($B10=FALSE,"не выбрана",IF($G$1="","нет маршрута",INDEX('Мейджик'!Z$1:Z$2,$G$1)))</ns0:f>
        <ns0:v>13.6</ns0:v>
      </ns0:c>
      <ns0:c r="AA10" s="31">
        <ns0:f>IF($B10=FALSE,"не выбрана",IF($G$1="","нет маршрута",INDEX('Мейджик'!AA$1:AA$2,$G$1)))</ns0:f>
        <ns0:v>13.6</ns0:v>
      </ns0:c>
      <ns0:c r="AB10" s="31">
        <ns0:f>IF($B10=FALSE,"не выбрана",IF($G$1="","нет маршрута",INDEX('Мейджик'!AB$1:AB$2,$G$1)))</ns0:f>
        <ns0:v>13.6</ns0:v>
      </ns0:c>
      <ns0:c r="AC10" s="31">
        <ns0:f>IF($B10=FALSE,"не выбрана",IF($G$1="","нет маршрута",INDEX('Мейджик'!AC$1:AC$2,$G$1)))</ns0:f>
        <ns0:v>13.2</ns0:v>
      </ns0:c>
      <ns0:c r="AD10" s="31">
        <ns0:f>IF($B10=FALSE,"не выбрана",IF($G$1="","нет маршрута",INDEX('Мейджик'!AD$1:AD$2,$G$1)))</ns0:f>
        <ns0:v>13.2</ns0:v>
      </ns0:c>
      <ns0:c r="AE10" s="31">
        <ns0:f>IF($B10=FALSE,"не выбрана",IF($G$1="","нет маршрута",INDEX('Мейджик'!AE$1:AE$2,$G$1)))</ns0:f>
        <ns0:v>13.0</ns0:v>
      </ns0:c>
      <ns0:c r="AF10" s="31">
        <ns0:f>IF($B10=FALSE,"не выбрана",IF($G$1="","нет маршрута",INDEX('Мейджик'!AF$1:AF$2,$G$1)))</ns0:f>
        <ns0:v>12.5</ns0:v>
      </ns0:c>
      <ns0:c r="AG10" s="31" t="n"/>
      <ns0:c r="AH10" s="31" t="n"/>
      <ns0:c r="AI10" s="31" t="n"/>
      <ns0:c r="AJ10" s="31" t="n"/>
      <ns0:c r="AK10" s="31" t="n"/>
      <ns0:c r="AL10" s="31" t="n"/>
      <ns0:c r="AM10" s="31" t="n"/>
      <ns0:c r="AN10" s="31" t="n"/>
      <ns0:c r="AO10" s="31" t="n"/>
      <ns0:c r="AP10" s="31" t="n"/>
      <ns0:c r="AQ10" s="31" t="n"/>
      <ns0:c r="AR10" s="31" t="n"/>
      <ns0:c r="AS10" s="31" t="n"/>
      <ns0:c r="AT10" s="31" t="n"/>
      <ns0:c r="AU10" s="31" t="n"/>
      <ns0:c r="AV10" s="31" t="n"/>
      <ns0:c r="AW10" s="31" t="n"/>
      <ns0:c r="AX10" s="31" t="n"/>
      <ns0:c r="AY10" s="31" t="n"/>
      <ns0:c r="AZ10" s="31" t="n"/>
      <ns0:c r="BA10" s="31" t="n"/>
      <ns0:c r="BB10" s="31" t="n"/>
      <ns0:c r="BC10" s="31" t="n"/>
      <ns0:c r="BD10" s="31" t="n"/>
      <ns0:c r="BE10" s="31" t="n"/>
      <ns0:c r="BF10" s="31" t="n"/>
      <ns0:c r="BG10" s="31" t="n"/>
      <ns0:c r="BH10" s="31" t="n"/>
      <ns0:c r="BI10" s="31" t="n"/>
      <ns0:c r="BJ10" s="31" t="n"/>
      <ns0:c r="BK10" s="31" t="n"/>
    </ns0:row>
    <ns0:row r="11">
      <ns0:c r="A11" s="31" t="inlineStr">
        <ns0:is>
          <ns0:t>Главтрасса</ns0:t>
        </ns0:is>
      </ns0:c>
      <ns0:c r="B11" s="31" t="b">
        <ns0:f>'Графики'!C26</ns0:f>
        <ns0:v>1</ns0:v>
      </ns0:c>
      <ns0:c r="C11" s="31" t="n"/>
      <ns0:c r="D11" s="31">
        <ns0:f>IF($B11=FALSE,"не выбрана",IF($G$1="","нет маршрута",INDEX('Главтрасса'!D$1:D$2,$G$1)))</ns0:f>
        <ns0:v>390.0</ns0:v>
      </ns0:c>
      <ns0:c r="E11" s="31">
        <ns0:f>IF($B11=FALSE,"не выбрана",IF($G$1="","нет маршрута",INDEX('Главтрасса'!E$1:E$2,$G$1)))</ns0:f>
        <ns0:v>390.0</ns0:v>
      </ns0:c>
      <ns0:c r="F11" s="31">
        <ns0:f>IF($B11=FALSE,"не выбрана",IF($G$1="","нет маршрута",INDEX('Главтрасса'!F$1:F$2,$G$1)))</ns0:f>
        <ns0:v>390.0</ns0:v>
      </ns0:c>
      <ns0:c r="G11" s="31">
        <ns0:f>IF($B11=FALSE,"не выбрана",IF($G$1="","нет маршрута",INDEX('Главтрасса'!G$1:G$2,$G$1)))</ns0:f>
        <ns0:v>400.0</ns0:v>
      </ns0:c>
      <ns0:c r="H11" s="31">
        <ns0:f>IF($B11=FALSE,"не выбрана",IF($G$1="","нет маршрута",INDEX('Главтрасса'!H$1:H$2,$G$1)))</ns0:f>
        <ns0:v>400.0</ns0:v>
      </ns0:c>
      <ns0:c r="I11" s="31">
        <ns0:f>IF($B11=FALSE,"не выбрана",IF($G$1="","нет маршрута",INDEX('Главтрасса'!I$1:I$2,$G$1)))</ns0:f>
        <ns0:v>400.0</ns0:v>
      </ns0:c>
      <ns0:c r="J11" s="31">
        <ns0:f>IF($B11=FALSE,"не выбрана",IF($G$1="","нет маршрута",INDEX('Главтрасса'!J$1:J$2,$G$1)))</ns0:f>
        <ns0:v>456.0</ns0:v>
      </ns0:c>
      <ns0:c r="K11" s="31">
        <ns0:f>IF($B11=FALSE,"не выбрана",IF($G$1="","нет маршрута",INDEX('Главтрасса'!K$1:K$2,$G$1)))</ns0:f>
        <ns0:v>550.0</ns0:v>
      </ns0:c>
      <ns0:c r="L11" s="31">
        <ns0:f>IF($B11=FALSE,"не выбрана",IF($G$1="","нет маршрута",INDEX('Главтрасса'!L$1:L$2,$G$1)))</ns0:f>
        <ns0:v>688.0</ns0:v>
      </ns0:c>
      <ns0:c r="M11" s="31">
        <ns0:f>IF($B11=FALSE,"не выбрана",IF($G$1="","нет маршрута",INDEX('Главтрасса'!M$1:M$2,$G$1)))</ns0:f>
        <ns0:v>390.0</ns0:v>
      </ns0:c>
      <ns0:c r="N11" s="31">
        <ns0:f>IF($B11=FALSE,"не выбрана",IF($G$1="","нет маршрута",INDEX('Главтрасса'!N$1:N$2,$G$1)))</ns0:f>
        <ns0:v>13.75</ns0:v>
      </ns0:c>
      <ns0:c r="O11" s="31">
        <ns0:f>IF($B11=FALSE,"не выбрана",IF($G$1="","нет маршрута",INDEX('Главтрасса'!O$1:O$2,$G$1)))</ns0:f>
        <ns0:v>13.25</ns0:v>
      </ns0:c>
      <ns0:c r="P11" s="31">
        <ns0:f>IF($B11=FALSE,"не выбрана",IF($G$1="","нет маршрута",INDEX('Главтрасса'!P$1:P$2,$G$1)))</ns0:f>
        <ns0:v>13.248</ns0:v>
      </ns0:c>
      <ns0:c r="Q11" s="31">
        <ns0:f>IF($B11=FALSE,"не выбрана",IF($G$1="","нет маршрута",INDEX('Главтрасса'!Q$1:Q$2,$G$1)))</ns0:f>
        <ns0:v>13.25</ns0:v>
      </ns0:c>
      <ns0:c r="R11" s="31">
        <ns0:f>IF($B11=FALSE,"не выбрана",IF($G$1="","нет маршрута",INDEX('Главтрасса'!R$1:R$2,$G$1)))</ns0:f>
        <ns0:v>13.25</ns0:v>
      </ns0:c>
      <ns0:c r="S11" s="31">
        <ns0:f>IF($B11=FALSE,"не выбрана",IF($G$1="","нет маршрута",INDEX('Главтрасса'!S$1:S$2,$G$1)))</ns0:f>
        <ns0:v>13.25</ns0:v>
      </ns0:c>
      <ns0:c r="T11" s="31">
        <ns0:f>IF($B11=FALSE,"не выбрана",IF($G$1="","нет маршрута",INDEX('Главтрасса'!T$1:T$2,$G$1)))</ns0:f>
        <ns0:v>12.9983</ns0:v>
      </ns0:c>
      <ns0:c r="U11" s="31">
        <ns0:f>IF($B11=FALSE,"не выбрана",IF($G$1="","нет маршрута",INDEX('Главтрасса'!U$1:U$2,$G$1)))</ns0:f>
        <ns0:v>13.0</ns0:v>
      </ns0:c>
      <ns0:c r="V11" s="31">
        <ns0:f>IF($B11=FALSE,"не выбрана",IF($G$1="","нет маршрута",INDEX('Главтрасса'!V$1:V$2,$G$1)))</ns0:f>
        <ns0:v>13.0</ns0:v>
      </ns0:c>
      <ns0:c r="W11" s="31">
        <ns0:f>IF($B11=FALSE,"не выбрана",IF($G$1="","нет маршрута",INDEX('Главтрасса'!W$1:W$2,$G$1)))</ns0:f>
        <ns0:v>13.0</ns0:v>
      </ns0:c>
      <ns0:c r="X11" s="31">
        <ns0:f>IF($B11=FALSE,"не выбрана",IF($G$1="","нет маршрута",INDEX('Главтрасса'!X$1:X$2,$G$1)))</ns0:f>
        <ns0:v>15.626</ns0:v>
      </ns0:c>
      <ns0:c r="Y11" s="31">
        <ns0:f>IF($B11=FALSE,"не выбрана",IF($G$1="","нет маршрута",INDEX('Главтрасса'!Y$1:Y$2,$G$1)))</ns0:f>
        <ns0:v>15.6242</ns0:v>
      </ns0:c>
      <ns0:c r="Z11" s="31">
        <ns0:f>IF($B11=FALSE,"не выбрана",IF($G$1="","нет маршрута",INDEX('Главтрасса'!Z$1:Z$2,$G$1)))</ns0:f>
        <ns0:v>15.624</ns0:v>
      </ns0:c>
      <ns0:c r="AA11" s="31">
        <ns0:f>IF($B11=FALSE,"не выбрана",IF($G$1="","нет маршрута",INDEX('Главтрасса'!AA$1:AA$2,$G$1)))</ns0:f>
        <ns0:v>14.9995</ns0:v>
      </ns0:c>
      <ns0:c r="AB11" s="31">
        <ns0:f>IF($B11=FALSE,"не выбрана",IF($G$1="","нет маршрута",INDEX('Главтрасса'!AB$1:AB$2,$G$1)))</ns0:f>
        <ns0:v>15.0</ns0:v>
      </ns0:c>
      <ns0:c r="AC11" s="31">
        <ns0:f>IF($B11=FALSE,"не выбрана",IF($G$1="","нет маршрута",INDEX('Главтрасса'!AC$1:AC$2,$G$1)))</ns0:f>
        <ns0:v>14.3747</ns0:v>
      </ns0:c>
      <ns0:c r="AD11" s="31">
        <ns0:f>IF($B11=FALSE,"не выбрана",IF($G$1="","нет маршрута",INDEX('Главтрасса'!AD$1:AD$2,$G$1)))</ns0:f>
        <ns0:v>14.3748</ns0:v>
      </ns0:c>
      <ns0:c r="AE11" s="31">
        <ns0:f>IF($B11=FALSE,"не выбрана",IF($G$1="","нет маршрута",INDEX('Главтрасса'!AE$1:AE$2,$G$1)))</ns0:f>
        <ns0:v>14.3746</ns0:v>
      </ns0:c>
      <ns0:c r="AF11" s="31">
        <ns0:f>IF($B11=FALSE,"не выбрана",IF($G$1="","нет маршрута",INDEX('Главтрасса'!AF$1:AF$2,$G$1)))</ns0:f>
        <ns0:v>14.3751</ns0:v>
      </ns0:c>
      <ns0:c r="AG11" s="31" t="n"/>
      <ns0:c r="AH11" s="31" t="n"/>
      <ns0:c r="AI11" s="31" t="n"/>
      <ns0:c r="AJ11" s="31" t="n"/>
      <ns0:c r="AK11" s="31" t="n"/>
      <ns0:c r="AL11" s="31" t="n"/>
      <ns0:c r="AM11" s="31" t="n"/>
      <ns0:c r="AN11" s="31" t="n"/>
      <ns0:c r="AO11" s="31" t="n"/>
      <ns0:c r="AP11" s="31" t="n"/>
      <ns0:c r="AQ11" s="31" t="n"/>
      <ns0:c r="AR11" s="31" t="n"/>
      <ns0:c r="AS11" s="31" t="n"/>
      <ns0:c r="AT11" s="31" t="n"/>
      <ns0:c r="AU11" s="31" t="n"/>
      <ns0:c r="AV11" s="31" t="n"/>
      <ns0:c r="AW11" s="31" t="n"/>
      <ns0:c r="AX11" s="31" t="n"/>
      <ns0:c r="AY11" s="31" t="n"/>
      <ns0:c r="AZ11" s="31" t="n"/>
      <ns0:c r="BA11" s="31" t="n"/>
      <ns0:c r="BB11" s="31" t="n"/>
      <ns0:c r="BC11" s="31" t="n"/>
      <ns0:c r="BD11" s="31" t="n"/>
      <ns0:c r="BE11" s="31" t="n"/>
      <ns0:c r="BF11" s="31" t="n"/>
      <ns0:c r="BG11" s="31" t="n"/>
      <ns0:c r="BH11" s="31" t="n"/>
      <ns0:c r="BI11" s="31" t="n"/>
      <ns0:c r="BJ11" s="31" t="n"/>
      <ns0:c r="BK11" s="31" t="n"/>
    </ns0:row>
    <ns0:row r="12">
      <ns0:c r="A12" s="31" t="inlineStr">
        <ns0:is>
          <ns0:t>Пролайн</ns0:t>
        </ns0:is>
      </ns0:c>
      <ns0:c r="B12" s="31" t="b">
        <ns0:f>'Графики'!C27</ns0:f>
        <ns0:v>1</ns0:v>
      </ns0:c>
      <ns0:c r="C12" s="31" t="n"/>
      <ns0:c r="D12" s="31">
        <ns0:f>IF($B12=FALSE,"не выбрана",IF($G$1="","нет маршрута",INDEX('Пролайн'!D$1:D$2,$G$1)))</ns0:f>
        <ns0:v>550.0</ns0:v>
      </ns0:c>
      <ns0:c r="E12" s="31">
        <ns0:f>IF($B12=FALSE,"не выбрана",IF($G$1="","нет маршрута",INDEX('Пролайн'!E$1:E$2,$G$1)))</ns0:f>
        <ns0:v>550.0</ns0:v>
      </ns0:c>
      <ns0:c r="F12" s="31">
        <ns0:f>IF($B12=FALSE,"не выбрана",IF($G$1="","нет маршрута",INDEX('Пролайн'!F$1:F$2,$G$1)))</ns0:f>
        <ns0:v>550.0</ns0:v>
      </ns0:c>
      <ns0:c r="G12" s="31">
        <ns0:f>IF($B12=FALSE,"не выбрана",IF($G$1="","нет маршрута",INDEX('Пролайн'!G$1:G$2,$G$1)))</ns0:f>
        <ns0:v>550.0</ns0:v>
      </ns0:c>
      <ns0:c r="H12" s="31">
        <ns0:f>IF($B12=FALSE,"не выбрана",IF($G$1="","нет маршрута",INDEX('Пролайн'!H$1:H$2,$G$1)))</ns0:f>
        <ns0:v>550.0</ns0:v>
      </ns0:c>
      <ns0:c r="I12" s="31">
        <ns0:f>IF($B12=FALSE,"не выбрана",IF($G$1="","нет маршрута",INDEX('Пролайн'!I$1:I$2,$G$1)))</ns0:f>
        <ns0:v>550.0</ns0:v>
      </ns0:c>
      <ns0:c r="J12" s="31">
        <ns0:f>IF($B12=FALSE,"не выбрана",IF($G$1="","нет маршрута",INDEX('Пролайн'!J$1:J$2,$G$1)))</ns0:f>
        <ns0:v>550.0</ns0:v>
      </ns0:c>
      <ns0:c r="K12" s="31">
        <ns0:f>IF($B12=FALSE,"не выбрана",IF($G$1="","нет маршрута",INDEX('Пролайн'!K$1:K$2,$G$1)))</ns0:f>
        <ns0:v>560.0</ns0:v>
      </ns0:c>
      <ns0:c r="L12" s="31">
        <ns0:f>IF($B12=FALSE,"не выбрана",IF($G$1="","нет маршрута",INDEX('Пролайн'!L$1:L$2,$G$1)))</ns0:f>
        <ns0:v>700.0</ns0:v>
      </ns0:c>
      <ns0:c r="M12" s="31">
        <ns0:f>IF($B12=FALSE,"не выбрана",IF($G$1="","нет маршрута",INDEX('Пролайн'!M$1:M$2,$G$1)))</ns0:f>
        <ns0:v>550.0</ns0:v>
      </ns0:c>
      <ns0:c r="N12" s="31">
        <ns0:f>IF($B12=FALSE,"не выбрана",IF($G$1="","нет маршрута",INDEX('Пролайн'!N$1:N$2,$G$1)))</ns0:f>
        <ns0:v>14.0</ns0:v>
      </ns0:c>
      <ns0:c r="O12" s="31">
        <ns0:f>IF($B12=FALSE,"не выбрана",IF($G$1="","нет маршрута",INDEX('Пролайн'!O$1:O$2,$G$1)))</ns0:f>
        <ns0:v>13.9</ns0:v>
      </ns0:c>
      <ns0:c r="P12" s="31">
        <ns0:f>IF($B12=FALSE,"не выбрана",IF($G$1="","нет маршрута",INDEX('Пролайн'!P$1:P$2,$G$1)))</ns0:f>
        <ns0:v>13.9</ns0:v>
      </ns0:c>
      <ns0:c r="Q12" s="31">
        <ns0:f>IF($B12=FALSE,"не выбрана",IF($G$1="","нет маршрута",INDEX('Пролайн'!Q$1:Q$2,$G$1)))</ns0:f>
        <ns0:v>13.9</ns0:v>
      </ns0:c>
      <ns0:c r="R12" s="31">
        <ns0:f>IF($B12=FALSE,"не выбрана",IF($G$1="","нет маршрута",INDEX('Пролайн'!R$1:R$2,$G$1)))</ns0:f>
        <ns0:v>13.7</ns0:v>
      </ns0:c>
      <ns0:c r="S12" s="31">
        <ns0:f>IF($B12=FALSE,"не выбрана",IF($G$1="","нет маршрута",INDEX('Пролайн'!S$1:S$2,$G$1)))</ns0:f>
        <ns0:v>13.7</ns0:v>
      </ns0:c>
      <ns0:c r="T12" s="31">
        <ns0:f>IF($B12=FALSE,"не выбрана",IF($G$1="","нет маршрута",INDEX('Пролайн'!T$1:T$2,$G$1)))</ns0:f>
        <ns0:v>13.6</ns0:v>
      </ns0:c>
      <ns0:c r="U12" s="31">
        <ns0:f>IF($B12=FALSE,"не выбрана",IF($G$1="","нет маршрута",INDEX('Пролайн'!U$1:U$2,$G$1)))</ns0:f>
        <ns0:v>13.6</ns0:v>
      </ns0:c>
      <ns0:c r="V12" s="31">
        <ns0:f>IF($B12=FALSE,"не выбрана",IF($G$1="","нет маршрута",INDEX('Пролайн'!V$1:V$2,$G$1)))</ns0:f>
        <ns0:v>13.4</ns0:v>
      </ns0:c>
      <ns0:c r="W12" s="31">
        <ns0:f>IF($B12=FALSE,"не выбрана",IF($G$1="","нет маршрута",INDEX('Пролайн'!W$1:W$2,$G$1)))</ns0:f>
        <ns0:v>13.4</ns0:v>
      </ns0:c>
      <ns0:c r="X12" s="31">
        <ns0:f>IF($B12=FALSE,"не выбрана",IF($G$1="","нет маршрута",INDEX('Пролайн'!X$1:X$2,$G$1)))</ns0:f>
        <ns0:v>13.4</ns0:v>
      </ns0:c>
      <ns0:c r="Y12" s="31">
        <ns0:f>IF($B12=FALSE,"не выбрана",IF($G$1="","нет маршрута",INDEX('Пролайн'!Y$1:Y$2,$G$1)))</ns0:f>
        <ns0:v>13.2</ns0:v>
      </ns0:c>
      <ns0:c r="Z12" s="31">
        <ns0:f>IF($B12=FALSE,"не выбрана",IF($G$1="","нет маршрута",INDEX('Пролайн'!Z$1:Z$2,$G$1)))</ns0:f>
        <ns0:v>13.2</ns0:v>
      </ns0:c>
      <ns0:c r="AA12" s="31">
        <ns0:f>IF($B12=FALSE,"не выбрана",IF($G$1="","нет маршрута",INDEX('Пролайн'!AA$1:AA$2,$G$1)))</ns0:f>
        <ns0:v>13.0</ns0:v>
      </ns0:c>
      <ns0:c r="AB12" s="31">
        <ns0:f>IF($B12=FALSE,"не выбрана",IF($G$1="","нет маршрута",INDEX('Пролайн'!AB$1:AB$2,$G$1)))</ns0:f>
        <ns0:v>12.1</ns0:v>
      </ns0:c>
      <ns0:c r="AC12" s="31">
        <ns0:f>IF($B12=FALSE,"не выбрана",IF($G$1="","нет маршрута",INDEX('Пролайн'!AC$1:AC$2,$G$1)))</ns0:f>
        <ns0:v>12.1</ns0:v>
      </ns0:c>
      <ns0:c r="AD12" s="31">
        <ns0:f>IF($B12=FALSE,"не выбрана",IF($G$1="","нет маршрута",INDEX('Пролайн'!AD$1:AD$2,$G$1)))</ns0:f>
        <ns0:v>12.0</ns0:v>
      </ns0:c>
      <ns0:c r="AE12" s="31">
        <ns0:f>IF($B12=FALSE,"не выбрана",IF($G$1="","нет маршрута",INDEX('Пролайн'!AE$1:AE$2,$G$1)))</ns0:f>
        <ns0:v>12.0</ns0:v>
      </ns0:c>
      <ns0:c r="AF12" s="31">
        <ns0:f>IF($B12=FALSE,"не выбрана",IF($G$1="","нет маршрута",INDEX('Пролайн'!AF$1:AF$2,$G$1)))</ns0:f>
        <ns0:v>12.0</ns0:v>
      </ns0:c>
      <ns0:c r="AG12" s="31" t="n"/>
      <ns0:c r="AH12" s="31" t="n"/>
      <ns0:c r="AI12" s="31" t="n"/>
      <ns0:c r="AJ12" s="31" t="n"/>
      <ns0:c r="AK12" s="31" t="n"/>
      <ns0:c r="AL12" s="31" t="n"/>
      <ns0:c r="AM12" s="31" t="n"/>
      <ns0:c r="AN12" s="31" t="n"/>
      <ns0:c r="AO12" s="31" t="n"/>
      <ns0:c r="AP12" s="31" t="n"/>
      <ns0:c r="AQ12" s="31" t="n"/>
      <ns0:c r="AR12" s="31" t="n"/>
      <ns0:c r="AS12" s="31" t="n"/>
      <ns0:c r="AT12" s="31" t="n"/>
      <ns0:c r="AU12" s="31" t="n"/>
      <ns0:c r="AV12" s="31" t="n"/>
      <ns0:c r="AW12" s="31" t="n"/>
      <ns0:c r="AX12" s="31" t="n"/>
      <ns0:c r="AY12" s="31" t="n"/>
      <ns0:c r="AZ12" s="31" t="n"/>
      <ns0:c r="BA12" s="31" t="n"/>
      <ns0:c r="BB12" s="31" t="n"/>
      <ns0:c r="BC12" s="31" t="n"/>
      <ns0:c r="BD12" s="31" t="n"/>
      <ns0:c r="BE12" s="31" t="n"/>
      <ns0:c r="BF12" s="31" t="n"/>
      <ns0:c r="BG12" s="31" t="n"/>
      <ns0:c r="BH12" s="31" t="n"/>
      <ns0:c r="BI12" s="31" t="n"/>
      <ns0:c r="BJ12" s="31" t="n"/>
      <ns0:c r="BK12" s="31" t="n"/>
    </ns0:row>
    <ns0:row r="13">
      <ns0:c r="A13" s="31" t="inlineStr">
        <ns0:is>
          <ns0:t>Фортуна</ns0:t>
        </ns0:is>
      </ns0:c>
      <ns0:c r="B13" s="31" t="b">
        <ns0:f>'Графики'!C28</ns0:f>
        <ns0:v>1</ns0:v>
      </ns0:c>
      <ns0:c r="C13" s="31" t="n"/>
      <ns0:c r="D13" s="31">
        <ns0:f>IF($B13=FALSE,"не выбрана",IF($G$1="","нет маршрута",INDEX('Фортуна'!D$1:D$2,$G$1)))</ns0:f>
        <ns0:v>580.0</ns0:v>
      </ns0:c>
      <ns0:c r="E13" s="31">
        <ns0:f>IF($B13=FALSE,"не выбрана",IF($G$1="","нет маршрута",INDEX('Фортуна'!E$1:E$2,$G$1)))</ns0:f>
        <ns0:v>580.0</ns0:v>
      </ns0:c>
      <ns0:c r="F13" s="31">
        <ns0:f>IF($B13=FALSE,"не выбрана",IF($G$1="","нет маршрута",INDEX('Фортуна'!F$1:F$2,$G$1)))</ns0:f>
        <ns0:v>580.0</ns0:v>
      </ns0:c>
      <ns0:c r="G13" s="31">
        <ns0:f>IF($B13=FALSE,"не выбрана",IF($G$1="","нет маршрута",INDEX('Фортуна'!G$1:G$2,$G$1)))</ns0:f>
        <ns0:v>580.0</ns0:v>
      </ns0:c>
      <ns0:c r="H13" s="31">
        <ns0:f>IF($B13=FALSE,"не выбрана",IF($G$1="","нет маршрута",INDEX('Фортуна'!H$1:H$2,$G$1)))</ns0:f>
        <ns0:v>580.0</ns0:v>
      </ns0:c>
      <ns0:c r="I13" s="31">
        <ns0:f>IF($B13=FALSE,"не выбрана",IF($G$1="","нет маршрута",INDEX('Фортуна'!I$1:I$2,$G$1)))</ns0:f>
        <ns0:v>710.0</ns0:v>
      </ns0:c>
      <ns0:c r="J13" s="31">
        <ns0:f>IF($B13=FALSE,"не выбрана",IF($G$1="","нет маршрута",INDEX('Фортуна'!J$1:J$2,$G$1)))</ns0:f>
        <ns0:v>710.0</ns0:v>
      </ns0:c>
      <ns0:c r="K13" s="31">
        <ns0:f>IF($B13=FALSE,"не выбрана",IF($G$1="","нет маршрута",INDEX('Фортуна'!K$1:K$2,$G$1)))</ns0:f>
        <ns0:v>710.0</ns0:v>
      </ns0:c>
      <ns0:c r="L13" s="31">
        <ns0:f>IF($B13=FALSE,"не выбрана",IF($G$1="","нет маршрута",INDEX('Фортуна'!L$1:L$2,$G$1)))</ns0:f>
        <ns0:v>710.0</ns0:v>
      </ns0:c>
      <ns0:c r="M13" s="31">
        <ns0:f>IF($B13=FALSE,"не выбрана",IF($G$1="","нет маршрута",INDEX('Фортуна'!M$1:M$2,$G$1)))</ns0:f>
        <ns0:v>580.0</ns0:v>
      </ns0:c>
      <ns0:c r="N13" s="31">
        <ns0:f>IF($B13=FALSE,"не выбрана",IF($G$1="","нет маршрута",INDEX('Фортуна'!N$1:N$2,$G$1)))</ns0:f>
        <ns0:v>13.9</ns0:v>
      </ns0:c>
      <ns0:c r="O13" s="31">
        <ns0:f>IF($B13=FALSE,"не выбрана",IF($G$1="","нет маршрута",INDEX('Фортуна'!O$1:O$2,$G$1)))</ns0:f>
        <ns0:v>13.4</ns0:v>
      </ns0:c>
      <ns0:c r="P13" s="31">
        <ns0:f>IF($B13=FALSE,"не выбрана",IF($G$1="","нет маршрута",INDEX('Фортуна'!P$1:P$2,$G$1)))</ns0:f>
        <ns0:v>13.4</ns0:v>
      </ns0:c>
      <ns0:c r="Q13" s="31">
        <ns0:f>IF($B13=FALSE,"не выбрана",IF($G$1="","нет маршрута",INDEX('Фортуна'!Q$1:Q$2,$G$1)))</ns0:f>
        <ns0:v>13.4</ns0:v>
      </ns0:c>
      <ns0:c r="R13" s="31">
        <ns0:f>IF($B13=FALSE,"не выбрана",IF($G$1="","нет маршрута",INDEX('Фортуна'!R$1:R$2,$G$1)))</ns0:f>
        <ns0:v>13.4</ns0:v>
      </ns0:c>
      <ns0:c r="S13" s="31">
        <ns0:f>IF($B13=FALSE,"не выбрана",IF($G$1="","нет маршрута",INDEX('Фортуна'!S$1:S$2,$G$1)))</ns0:f>
        <ns0:v>13.2</ns0:v>
      </ns0:c>
      <ns0:c r="T13" s="31">
        <ns0:f>IF($B13=FALSE,"не выбрана",IF($G$1="","нет маршрута",INDEX('Фортуна'!T$1:T$2,$G$1)))</ns0:f>
        <ns0:v>13.2</ns0:v>
      </ns0:c>
      <ns0:c r="U13" s="31">
        <ns0:f>IF($B13=FALSE,"не выбрана",IF($G$1="","нет маршрута",INDEX('Фортуна'!U$1:U$2,$G$1)))</ns0:f>
        <ns0:v>13.2</ns0:v>
      </ns0:c>
      <ns0:c r="V13" s="31">
        <ns0:f>IF($B13=FALSE,"не выбрана",IF($G$1="","нет маршрута",INDEX('Фортуна'!V$1:V$2,$G$1)))</ns0:f>
        <ns0:v>13.2</ns0:v>
      </ns0:c>
      <ns0:c r="W13" s="31">
        <ns0:f>IF($B13=FALSE,"не выбрана",IF($G$1="","нет маршрута",INDEX('Фортуна'!W$1:W$2,$G$1)))</ns0:f>
        <ns0:v>13.2</ns0:v>
      </ns0:c>
      <ns0:c r="X13" s="31">
        <ns0:f>IF($B13=FALSE,"не выбрана",IF($G$1="","нет маршрута",INDEX('Фортуна'!X$1:X$2,$G$1)))</ns0:f>
        <ns0:v>13.1</ns0:v>
      </ns0:c>
      <ns0:c r="Y13" s="31">
        <ns0:f>IF($B13=FALSE,"не выбрана",IF($G$1="","нет маршрута",INDEX('Фортуна'!Y$1:Y$2,$G$1)))</ns0:f>
        <ns0:v>13.1</ns0:v>
      </ns0:c>
      <ns0:c r="Z13" s="31">
        <ns0:f>IF($B13=FALSE,"не выбрана",IF($G$1="","нет маршрута",INDEX('Фортуна'!Z$1:Z$2,$G$1)))</ns0:f>
        <ns0:v>13.0</ns0:v>
      </ns0:c>
      <ns0:c r="AA13" s="31">
        <ns0:f>IF($B13=FALSE,"не выбрана",IF($G$1="","нет маршрута",INDEX('Фортуна'!AA$1:AA$2,$G$1)))</ns0:f>
        <ns0:v>12.4</ns0:v>
      </ns0:c>
      <ns0:c r="AB13" s="31">
        <ns0:f>IF($B13=FALSE,"не выбрана",IF($G$1="","нет маршрута",INDEX('Фортуна'!AB$1:AB$2,$G$1)))</ns0:f>
        <ns0:v>12.4</ns0:v>
      </ns0:c>
      <ns0:c r="AC13" s="31">
        <ns0:f>IF($B13=FALSE,"не выбрана",IF($G$1="","нет маршрута",INDEX('Фортуна'!AC$1:AC$2,$G$1)))</ns0:f>
        <ns0:v>12.1</ns0:v>
      </ns0:c>
      <ns0:c r="AD13" s="31">
        <ns0:f>IF($B13=FALSE,"не выбрана",IF($G$1="","нет маршрута",INDEX('Фортуна'!AD$1:AD$2,$G$1)))</ns0:f>
        <ns0:v>12.1</ns0:v>
      </ns0:c>
      <ns0:c r="AE13" s="31">
        <ns0:f>IF($B13=FALSE,"не выбрана",IF($G$1="","нет маршрута",INDEX('Фортуна'!AE$1:AE$2,$G$1)))</ns0:f>
        <ns0:v>12.1</ns0:v>
      </ns0:c>
      <ns0:c r="AF13" s="31">
        <ns0:f>IF($B13=FALSE,"не выбрана",IF($G$1="","нет маршрута",INDEX('Фортуна'!AF$1:AF$2,$G$1)))</ns0:f>
        <ns0:v>12.1</ns0:v>
      </ns0:c>
      <ns0:c r="AG13" s="31" t="n"/>
      <ns0:c r="AH13" s="31" t="n"/>
      <ns0:c r="AI13" s="31" t="n"/>
      <ns0:c r="AJ13" s="31" t="n"/>
      <ns0:c r="AK13" s="31" t="n"/>
      <ns0:c r="AL13" s="31" t="n"/>
      <ns0:c r="AM13" s="31" t="n"/>
      <ns0:c r="AN13" s="31" t="n"/>
      <ns0:c r="AO13" s="31" t="n"/>
      <ns0:c r="AP13" s="31" t="n"/>
      <ns0:c r="AQ13" s="31" t="n"/>
      <ns0:c r="AR13" s="31" t="n"/>
      <ns0:c r="AS13" s="31" t="n"/>
      <ns0:c r="AT13" s="31" t="n"/>
      <ns0:c r="AU13" s="31" t="n"/>
      <ns0:c r="AV13" s="31" t="n"/>
      <ns0:c r="AW13" s="31" t="n"/>
      <ns0:c r="AX13" s="31" t="n"/>
      <ns0:c r="AY13" s="31" t="n"/>
      <ns0:c r="AZ13" s="31" t="n"/>
      <ns0:c r="BA13" s="31" t="n"/>
      <ns0:c r="BB13" s="31" t="n"/>
      <ns0:c r="BC13" s="31" t="n"/>
      <ns0:c r="BD13" s="31" t="n"/>
      <ns0:c r="BE13" s="31" t="n"/>
      <ns0:c r="BF13" s="31" t="n"/>
      <ns0:c r="BG13" s="31" t="n"/>
      <ns0:c r="BH13" s="31" t="n"/>
      <ns0:c r="BI13" s="31" t="n"/>
      <ns0:c r="BJ13" s="31" t="n"/>
      <ns0:c r="BK13" s="31" t="n"/>
    </ns0:row>
    <ns0:row r="14">
      <ns0:c r="A14" s="31" t="inlineStr">
        <ns0:is>
          <ns0:t>Грузопоток</ns0:t>
        </ns0:is>
      </ns0:c>
      <ns0:c r="B14" s="31" t="b">
        <ns0:f>'Графики'!C29</ns0:f>
        <ns0:v>1</ns0:v>
      </ns0:c>
      <ns0:c r="C14" s="31" t="n"/>
      <ns0:c r="D14" s="31" t="str">
        <ns0:f>IF($B14=FALSE,"не выбрана",IF($G$1="","нет маршрута",INDEX('Грузопоток'!D$1:D$2,$G$1)))</ns0:f>
        <ns0:v>нет данных</ns0:v>
      </ns0:c>
      <ns0:c r="E14" s="31" t="str">
        <ns0:f>IF($B14=FALSE,"не выбрана",IF($G$1="","нет маршрута",INDEX('Грузопоток'!E$1:E$2,$G$1)))</ns0:f>
        <ns0:v>нет данных</ns0:v>
      </ns0:c>
      <ns0:c r="F14" s="31" t="str">
        <ns0:f>IF($B14=FALSE,"не выбрана",IF($G$1="","нет маршрута",INDEX('Грузопоток'!F$1:F$2,$G$1)))</ns0:f>
        <ns0:v>нет данных</ns0:v>
      </ns0:c>
      <ns0:c r="G14" s="31" t="str">
        <ns0:f>IF($B14=FALSE,"не выбрана",IF($G$1="","нет маршрута",INDEX('Грузопоток'!G$1:G$2,$G$1)))</ns0:f>
        <ns0:v>нет данных</ns0:v>
      </ns0:c>
      <ns0:c r="H14" s="31" t="str">
        <ns0:f>IF($B14=FALSE,"не выбрана",IF($G$1="","нет маршрута",INDEX('Грузопоток'!H$1:H$2,$G$1)))</ns0:f>
        <ns0:v>нет данных</ns0:v>
      </ns0:c>
      <ns0:c r="I14" s="31" t="str">
        <ns0:f>IF($B14=FALSE,"не выбрана",IF($G$1="","нет маршрута",INDEX('Грузопоток'!I$1:I$2,$G$1)))</ns0:f>
        <ns0:v>нет данных</ns0:v>
      </ns0:c>
      <ns0:c r="J14" s="31" t="str">
        <ns0:f>IF($B14=FALSE,"не выбрана",IF($G$1="","нет маршрута",INDEX('Грузопоток'!J$1:J$2,$G$1)))</ns0:f>
        <ns0:v>нет данных</ns0:v>
      </ns0:c>
      <ns0:c r="K14" s="31" t="str">
        <ns0:f>IF($B14=FALSE,"не выбрана",IF($G$1="","нет маршрута",INDEX('Грузопоток'!K$1:K$2,$G$1)))</ns0:f>
        <ns0:v>нет данных</ns0:v>
      </ns0:c>
      <ns0:c r="L14" s="31" t="str">
        <ns0:f>IF($B14=FALSE,"не выбрана",IF($G$1="","нет маршрута",INDEX('Грузопоток'!L$1:L$2,$G$1)))</ns0:f>
        <ns0:v>нет данных</ns0:v>
      </ns0:c>
      <ns0:c r="M14" s="31" t="str">
        <ns0:f>IF($B14=FALSE,"не выбрана",IF($G$1="","нет маршрута",INDEX('Грузопоток'!M$1:M$2,$G$1)))</ns0:f>
        <ns0:v>нет данных</ns0:v>
      </ns0:c>
      <ns0:c r="N14" s="31" t="str">
        <ns0:f>IF($B14=FALSE,"не выбрана",IF($G$1="","нет маршрута",INDEX('Грузопоток'!N$1:N$2,$G$1)))</ns0:f>
        <ns0:v>нет данных</ns0:v>
      </ns0:c>
      <ns0:c r="O14" s="31" t="str">
        <ns0:f>IF($B14=FALSE,"не выбрана",IF($G$1="","нет маршрута",INDEX('Грузопоток'!O$1:O$2,$G$1)))</ns0:f>
        <ns0:v>нет данных</ns0:v>
      </ns0:c>
      <ns0:c r="P14" s="31" t="str">
        <ns0:f>IF($B14=FALSE,"не выбрана",IF($G$1="","нет маршрута",INDEX('Грузопоток'!P$1:P$2,$G$1)))</ns0:f>
        <ns0:v>нет данных</ns0:v>
      </ns0:c>
      <ns0:c r="Q14" s="31" t="str">
        <ns0:f>IF($B14=FALSE,"не выбрана",IF($G$1="","нет маршрута",INDEX('Грузопоток'!Q$1:Q$2,$G$1)))</ns0:f>
        <ns0:v>нет данных</ns0:v>
      </ns0:c>
      <ns0:c r="R14" s="31" t="str">
        <ns0:f>IF($B14=FALSE,"не выбрана",IF($G$1="","нет маршрута",INDEX('Грузопоток'!R$1:R$2,$G$1)))</ns0:f>
        <ns0:v>нет данных</ns0:v>
      </ns0:c>
      <ns0:c r="S14" s="31" t="str">
        <ns0:f>IF($B14=FALSE,"не выбрана",IF($G$1="","нет маршрута",INDEX('Грузопоток'!S$1:S$2,$G$1)))</ns0:f>
        <ns0:v>нет данных</ns0:v>
      </ns0:c>
      <ns0:c r="T14" s="31" t="str">
        <ns0:f>IF($B14=FALSE,"не выбрана",IF($G$1="","нет маршрута",INDEX('Грузопоток'!T$1:T$2,$G$1)))</ns0:f>
        <ns0:v>нет данных</ns0:v>
      </ns0:c>
      <ns0:c r="U14" s="31" t="str">
        <ns0:f>IF($B14=FALSE,"не выбрана",IF($G$1="","нет маршрута",INDEX('Грузопоток'!U$1:U$2,$G$1)))</ns0:f>
        <ns0:v>нет данных</ns0:v>
      </ns0:c>
      <ns0:c r="V14" s="31" t="str">
        <ns0:f>IF($B14=FALSE,"не выбрана",IF($G$1="","нет маршрута",INDEX('Грузопоток'!V$1:V$2,$G$1)))</ns0:f>
        <ns0:v>нет данных</ns0:v>
      </ns0:c>
      <ns0:c r="W14" s="31" t="str">
        <ns0:f>IF($B14=FALSE,"не выбрана",IF($G$1="","нет маршрута",INDEX('Грузопоток'!W$1:W$2,$G$1)))</ns0:f>
        <ns0:v>нет данных</ns0:v>
      </ns0:c>
      <ns0:c r="X14" s="31" t="str">
        <ns0:f>IF($B14=FALSE,"не выбрана",IF($G$1="","нет маршрута",INDEX('Грузопоток'!X$1:X$2,$G$1)))</ns0:f>
        <ns0:v>нет данных</ns0:v>
      </ns0:c>
      <ns0:c r="Y14" s="31" t="str">
        <ns0:f>IF($B14=FALSE,"не выбрана",IF($G$1="","нет маршрута",INDEX('Грузопоток'!Y$1:Y$2,$G$1)))</ns0:f>
        <ns0:v>нет данных</ns0:v>
      </ns0:c>
      <ns0:c r="Z14" s="31" t="str">
        <ns0:f>IF($B14=FALSE,"не выбрана",IF($G$1="","нет маршрута",INDEX('Грузопоток'!Z$1:Z$2,$G$1)))</ns0:f>
        <ns0:v>нет данных</ns0:v>
      </ns0:c>
      <ns0:c r="AA14" s="31" t="str">
        <ns0:f>IF($B14=FALSE,"не выбрана",IF($G$1="","нет маршрута",INDEX('Грузопоток'!AA$1:AA$2,$G$1)))</ns0:f>
        <ns0:v>нет данных</ns0:v>
      </ns0:c>
      <ns0:c r="AB14" s="31" t="str">
        <ns0:f>IF($B14=FALSE,"не выбрана",IF($G$1="","нет маршрута",INDEX('Грузопоток'!AB$1:AB$2,$G$1)))</ns0:f>
        <ns0:v>нет данных</ns0:v>
      </ns0:c>
      <ns0:c r="AC14" s="31" t="str">
        <ns0:f>IF($B14=FALSE,"не выбрана",IF($G$1="","нет маршрута",INDEX('Грузопоток'!AC$1:AC$2,$G$1)))</ns0:f>
        <ns0:v>нет данных</ns0:v>
      </ns0:c>
      <ns0:c r="AD14" s="31" t="str">
        <ns0:f>IF($B14=FALSE,"не выбрана",IF($G$1="","нет маршрута",INDEX('Грузопоток'!AD$1:AD$2,$G$1)))</ns0:f>
        <ns0:v>нет данных</ns0:v>
      </ns0:c>
      <ns0:c r="AE14" s="31" t="str">
        <ns0:f>IF($B14=FALSE,"не выбрана",IF($G$1="","нет маршрута",INDEX('Грузопоток'!AE$1:AE$2,$G$1)))</ns0:f>
        <ns0:v>нет данных</ns0:v>
      </ns0:c>
      <ns0:c r="AF14" s="31" t="str">
        <ns0:f>IF($B14=FALSE,"не выбрана",IF($G$1="","нет маршрута",INDEX('Грузопоток'!AF$1:AF$2,$G$1)))</ns0:f>
        <ns0:v>нет данных</ns0:v>
      </ns0:c>
      <ns0:c r="AG14" s="31" t="n"/>
      <ns0:c r="AH14" s="31" t="n"/>
      <ns0:c r="AI14" s="31" t="n"/>
      <ns0:c r="AJ14" s="31" t="n"/>
      <ns0:c r="AK14" s="31" t="n"/>
      <ns0:c r="AL14" s="31" t="n"/>
      <ns0:c r="AM14" s="31" t="n"/>
      <ns0:c r="AN14" s="31" t="n"/>
      <ns0:c r="AO14" s="31" t="n"/>
      <ns0:c r="AP14" s="31" t="n"/>
      <ns0:c r="AQ14" s="31" t="n"/>
      <ns0:c r="AR14" s="31" t="n"/>
      <ns0:c r="AS14" s="31" t="n"/>
      <ns0:c r="AT14" s="31" t="n"/>
      <ns0:c r="AU14" s="31" t="n"/>
      <ns0:c r="AV14" s="31" t="n"/>
      <ns0:c r="AW14" s="31" t="n"/>
      <ns0:c r="AX14" s="31" t="n"/>
      <ns0:c r="AY14" s="31" t="n"/>
      <ns0:c r="AZ14" s="31" t="n"/>
      <ns0:c r="BA14" s="31" t="n"/>
      <ns0:c r="BB14" s="31" t="n"/>
      <ns0:c r="BC14" s="31" t="n"/>
      <ns0:c r="BD14" s="31" t="n"/>
      <ns0:c r="BE14" s="31" t="n"/>
      <ns0:c r="BF14" s="31" t="n"/>
      <ns0:c r="BG14" s="31" t="n"/>
      <ns0:c r="BH14" s="31" t="n"/>
      <ns0:c r="BI14" s="31" t="n"/>
      <ns0:c r="BJ14" s="31" t="n"/>
      <ns0:c r="BK14" s="31" t="n"/>
    </ns0:row>
    <ns0:row r="15">
      <ns0:c r="A15" s="31" t="inlineStr">
        <ns0:is>
          <ns0:t>ФастТранс</ns0:t>
        </ns0:is>
      </ns0:c>
      <ns0:c r="B15" s="31" t="b">
        <ns0:f>'Графики'!C30</ns0:f>
        <ns0:v>1</ns0:v>
      </ns0:c>
      <ns0:c r="C15" s="31" t="n"/>
      <ns0:c r="D15" s="31">
        <ns0:f>IF($B15=FALSE,"не выбрана",IF($G$1="","нет маршрута",INDEX('ФастТранс'!D$1:D$2,$G$1)))</ns0:f>
        <ns0:v>720.0</ns0:v>
      </ns0:c>
      <ns0:c r="E15" s="31">
        <ns0:f>IF($B15=FALSE,"не выбрана",IF($G$1="","нет маршрута",INDEX('ФастТранс'!E$1:E$2,$G$1)))</ns0:f>
        <ns0:v>720.0</ns0:v>
      </ns0:c>
      <ns0:c r="F15" s="31">
        <ns0:f>IF($B15=FALSE,"не выбрана",IF($G$1="","нет маршрута",INDEX('ФастТранс'!F$1:F$2,$G$1)))</ns0:f>
        <ns0:v>720.0</ns0:v>
      </ns0:c>
      <ns0:c r="G15" s="31">
        <ns0:f>IF($B15=FALSE,"не выбрана",IF($G$1="","нет маршрута",INDEX('ФастТранс'!G$1:G$2,$G$1)))</ns0:f>
        <ns0:v>750.0</ns0:v>
      </ns0:c>
      <ns0:c r="H15" s="31">
        <ns0:f>IF($B15=FALSE,"не выбрана",IF($G$1="","нет маршрута",INDEX('ФастТранс'!H$1:H$2,$G$1)))</ns0:f>
        <ns0:v>750.0</ns0:v>
      </ns0:c>
      <ns0:c r="I15" s="31">
        <ns0:f>IF($B15=FALSE,"не выбрана",IF($G$1="","нет маршрута",INDEX('ФастТранс'!I$1:I$2,$G$1)))</ns0:f>
        <ns0:v>750.0</ns0:v>
      </ns0:c>
      <ns0:c r="J15" s="31">
        <ns0:f>IF($B15=FALSE,"не выбрана",IF($G$1="","нет маршрута",INDEX('ФастТранс'!J$1:J$2,$G$1)))</ns0:f>
        <ns0:v>850.0</ns0:v>
      </ns0:c>
      <ns0:c r="K15" s="31">
        <ns0:f>IF($B15=FALSE,"не выбрана",IF($G$1="","нет маршрута",INDEX('ФастТранс'!K$1:K$2,$G$1)))</ns0:f>
        <ns0:v>850.0</ns0:v>
      </ns0:c>
      <ns0:c r="L15" s="31">
        <ns0:f>IF($B15=FALSE,"не выбрана",IF($G$1="","нет маршрута",INDEX('ФастТранс'!L$1:L$2,$G$1)))</ns0:f>
        <ns0:v>740.0</ns0:v>
      </ns0:c>
      <ns0:c r="M15" s="31">
        <ns0:f>IF($B15=FALSE,"не выбрана",IF($G$1="","нет маршрута",INDEX('ФастТранс'!M$1:M$2,$G$1)))</ns0:f>
        <ns0:v>720.0</ns0:v>
      </ns0:c>
      <ns0:c r="N15" s="31">
        <ns0:f>IF($B15=FALSE,"не выбрана",IF($G$1="","нет маршрута",INDEX('ФастТранс'!N$1:N$2,$G$1)))</ns0:f>
        <ns0:v>14.7</ns0:v>
      </ns0:c>
      <ns0:c r="O15" s="31">
        <ns0:f>IF($B15=FALSE,"не выбрана",IF($G$1="","нет маршрута",INDEX('ФастТранс'!O$1:O$2,$G$1)))</ns0:f>
        <ns0:v>14.6</ns0:v>
      </ns0:c>
      <ns0:c r="P15" s="31">
        <ns0:f>IF($B15=FALSE,"не выбрана",IF($G$1="","нет маршрута",INDEX('ФастТранс'!P$1:P$2,$G$1)))</ns0:f>
        <ns0:v>14.5</ns0:v>
      </ns0:c>
      <ns0:c r="Q15" s="31">
        <ns0:f>IF($B15=FALSE,"не выбрана",IF($G$1="","нет маршрута",INDEX('ФастТранс'!Q$1:Q$2,$G$1)))</ns0:f>
        <ns0:v>14.5</ns0:v>
      </ns0:c>
      <ns0:c r="R15" s="31">
        <ns0:f>IF($B15=FALSE,"не выбрана",IF($G$1="","нет маршрута",INDEX('ФастТранс'!R$1:R$2,$G$1)))</ns0:f>
        <ns0:v>14.1</ns0:v>
      </ns0:c>
      <ns0:c r="S15" s="31">
        <ns0:f>IF($B15=FALSE,"не выбрана",IF($G$1="","нет маршрута",INDEX('ФастТранс'!S$1:S$2,$G$1)))</ns0:f>
        <ns0:v>14.1</ns0:v>
      </ns0:c>
      <ns0:c r="T15" s="31">
        <ns0:f>IF($B15=FALSE,"не выбрана",IF($G$1="","нет маршрута",INDEX('ФастТранс'!T$1:T$2,$G$1)))</ns0:f>
        <ns0:v>14.0</ns0:v>
      </ns0:c>
      <ns0:c r="U15" s="31">
        <ns0:f>IF($B15=FALSE,"не выбрана",IF($G$1="","нет маршрута",INDEX('ФастТранс'!U$1:U$2,$G$1)))</ns0:f>
        <ns0:v>14.0</ns0:v>
      </ns0:c>
      <ns0:c r="V15" s="31">
        <ns0:f>IF($B15=FALSE,"не выбрана",IF($G$1="","нет маршрута",INDEX('ФастТранс'!V$1:V$2,$G$1)))</ns0:f>
        <ns0:v>13.9</ns0:v>
      </ns0:c>
      <ns0:c r="W15" s="31">
        <ns0:f>IF($B15=FALSE,"не выбрана",IF($G$1="","нет маршрута",INDEX('ФастТранс'!W$1:W$2,$G$1)))</ns0:f>
        <ns0:v>13.9</ns0:v>
      </ns0:c>
      <ns0:c r="X15" s="31">
        <ns0:f>IF($B15=FALSE,"не выбрана",IF($G$1="","нет маршрута",INDEX('ФастТранс'!X$1:X$2,$G$1)))</ns0:f>
        <ns0:v>13.9</ns0:v>
      </ns0:c>
      <ns0:c r="Y15" s="31">
        <ns0:f>IF($B15=FALSE,"не выбрана",IF($G$1="","нет маршрута",INDEX('ФастТранс'!Y$1:Y$2,$G$1)))</ns0:f>
        <ns0:v>13.8</ns0:v>
      </ns0:c>
      <ns0:c r="Z15" s="31">
        <ns0:f>IF($B15=FALSE,"не выбрана",IF($G$1="","нет маршрута",INDEX('ФастТранс'!Z$1:Z$2,$G$1)))</ns0:f>
        <ns0:v>13.8</ns0:v>
      </ns0:c>
      <ns0:c r="AA15" s="31">
        <ns0:f>IF($B15=FALSE,"не выбрана",IF($G$1="","нет маршрута",INDEX('ФастТранс'!AA$1:AA$2,$G$1)))</ns0:f>
        <ns0:v>13.5</ns0:v>
      </ns0:c>
      <ns0:c r="AB15" s="31">
        <ns0:f>IF($B15=FALSE,"не выбрана",IF($G$1="","нет маршрута",INDEX('ФастТранс'!AB$1:AB$2,$G$1)))</ns0:f>
        <ns0:v>13.4</ns0:v>
      </ns0:c>
      <ns0:c r="AC15" s="31">
        <ns0:f>IF($B15=FALSE,"не выбрана",IF($G$1="","нет маршрута",INDEX('ФастТранс'!AC$1:AC$2,$G$1)))</ns0:f>
        <ns0:v>13.4</ns0:v>
      </ns0:c>
      <ns0:c r="AD15" s="31">
        <ns0:f>IF($B15=FALSE,"не выбрана",IF($G$1="","нет маршрута",INDEX('ФастТранс'!AD$1:AD$2,$G$1)))</ns0:f>
        <ns0:v>13.0</ns0:v>
      </ns0:c>
      <ns0:c r="AE15" s="31">
        <ns0:f>IF($B15=FALSE,"не выбрана",IF($G$1="","нет маршрута",INDEX('ФастТранс'!AE$1:AE$2,$G$1)))</ns0:f>
        <ns0:v>12.8</ns0:v>
      </ns0:c>
      <ns0:c r="AF15" s="31">
        <ns0:f>IF($B15=FALSE,"не выбрана",IF($G$1="","нет маршрута",INDEX('ФастТранс'!AF$1:AF$2,$G$1)))</ns0:f>
        <ns0:v>12.8</ns0:v>
      </ns0:c>
      <ns0:c r="AG15" s="31" t="n"/>
      <ns0:c r="AH15" s="31" t="n"/>
      <ns0:c r="AI15" s="31" t="n"/>
      <ns0:c r="AJ15" s="31" t="n"/>
      <ns0:c r="AK15" s="31" t="n"/>
      <ns0:c r="AL15" s="31" t="n"/>
      <ns0:c r="AM15" s="31" t="n"/>
      <ns0:c r="AN15" s="31" t="n"/>
      <ns0:c r="AO15" s="31" t="n"/>
      <ns0:c r="AP15" s="31" t="n"/>
      <ns0:c r="AQ15" s="31" t="n"/>
      <ns0:c r="AR15" s="31" t="n"/>
      <ns0:c r="AS15" s="31" t="n"/>
      <ns0:c r="AT15" s="31" t="n"/>
      <ns0:c r="AU15" s="31" t="n"/>
      <ns0:c r="AV15" s="31" t="n"/>
      <ns0:c r="AW15" s="31" t="n"/>
      <ns0:c r="AX15" s="31" t="n"/>
      <ns0:c r="AY15" s="31" t="n"/>
      <ns0:c r="AZ15" s="31" t="n"/>
      <ns0:c r="BA15" s="31" t="n"/>
      <ns0:c r="BB15" s="31" t="n"/>
      <ns0:c r="BC15" s="31" t="n"/>
      <ns0:c r="BD15" s="31" t="n"/>
      <ns0:c r="BE15" s="31" t="n"/>
      <ns0:c r="BF15" s="31" t="n"/>
      <ns0:c r="BG15" s="31" t="n"/>
      <ns0:c r="BH15" s="31" t="n"/>
      <ns0:c r="BI15" s="31" t="n"/>
      <ns0:c r="BJ15" s="31" t="n"/>
      <ns0:c r="BK15" s="31" t="n"/>
    </ns0:row>
    <ns0:row r="16">
      <ns0:c r="A16" s="31" t="inlineStr">
        <ns0:is>
          <ns0:t>РейлКонтинент</ns0:t>
        </ns0:is>
      </ns0:c>
      <ns0:c r="B16" s="31" t="b">
        <ns0:f>'Графики'!C31</ns0:f>
        <ns0:v>1</ns0:v>
      </ns0:c>
      <ns0:c r="C16" s="31" t="n"/>
      <ns0:c r="D16" s="31">
        <ns0:f>IF($B16=FALSE,"не выбрана",IF($G$1="","нет маршрута",INDEX('РейлКонтинент'!D$1:D$2,$G$1)))</ns0:f>
        <ns0:v>990.0</ns0:v>
      </ns0:c>
      <ns0:c r="E16" s="31">
        <ns0:f>IF($B16=FALSE,"не выбрана",IF($G$1="","нет маршрута",INDEX('РейлКонтинент'!E$1:E$2,$G$1)))</ns0:f>
        <ns0:v>990.0</ns0:v>
      </ns0:c>
      <ns0:c r="F16" s="31">
        <ns0:f>IF($B16=FALSE,"не выбрана",IF($G$1="","нет маршрута",INDEX('РейлКонтинент'!F$1:F$2,$G$1)))</ns0:f>
        <ns0:v>990.0</ns0:v>
      </ns0:c>
      <ns0:c r="G16" s="31">
        <ns0:f>IF($B16=FALSE,"не выбрана",IF($G$1="","нет маршрута",INDEX('РейлКонтинент'!G$1:G$2,$G$1)))</ns0:f>
        <ns0:v>990.0</ns0:v>
      </ns0:c>
      <ns0:c r="H16" s="31">
        <ns0:f>IF($B16=FALSE,"не выбрана",IF($G$1="","нет маршрута",INDEX('РейлКонтинент'!H$1:H$2,$G$1)))</ns0:f>
        <ns0:v>990.0</ns0:v>
      </ns0:c>
      <ns0:c r="I16" s="31">
        <ns0:f>IF($B16=FALSE,"не выбрана",IF($G$1="","нет маршрута",INDEX('РейлКонтинент'!I$1:I$2,$G$1)))</ns0:f>
        <ns0:v>990.0</ns0:v>
      </ns0:c>
      <ns0:c r="J16" s="31">
        <ns0:f>IF($B16=FALSE,"не выбрана",IF($G$1="","нет маршрута",INDEX('РейлКонтинент'!J$1:J$2,$G$1)))</ns0:f>
        <ns0:v>990.0</ns0:v>
      </ns0:c>
      <ns0:c r="K16" s="31">
        <ns0:f>IF($B16=FALSE,"не выбрана",IF($G$1="","нет маршрута",INDEX('РейлКонтинент'!K$1:K$2,$G$1)))</ns0:f>
        <ns0:v>990.0</ns0:v>
      </ns0:c>
      <ns0:c r="L16" s="31">
        <ns0:f>IF($B16=FALSE,"не выбрана",IF($G$1="","нет маршрута",INDEX('РейлКонтинент'!L$1:L$2,$G$1)))</ns0:f>
        <ns0:v>990.0</ns0:v>
      </ns0:c>
      <ns0:c r="M16" s="31">
        <ns0:f>IF($B16=FALSE,"не выбрана",IF($G$1="","нет маршрута",INDEX('РейлКонтинент'!M$1:M$2,$G$1)))</ns0:f>
        <ns0:v>990.0</ns0:v>
      </ns0:c>
      <ns0:c r="N16" s="31">
        <ns0:f>IF($B16=FALSE,"не выбрана",IF($G$1="","нет маршрута",INDEX('РейлКонтинент'!N$1:N$2,$G$1)))</ns0:f>
        <ns0:v>18.3</ns0:v>
      </ns0:c>
      <ns0:c r="O16" s="31">
        <ns0:f>IF($B16=FALSE,"не выбрана",IF($G$1="","нет маршрута",INDEX('РейлКонтинент'!O$1:O$2,$G$1)))</ns0:f>
        <ns0:v>18.3</ns0:v>
      </ns0:c>
      <ns0:c r="P16" s="31">
        <ns0:f>IF($B16=FALSE,"не выбрана",IF($G$1="","нет маршрута",INDEX('РейлКонтинент'!P$1:P$2,$G$1)))</ns0:f>
        <ns0:v>18.3</ns0:v>
      </ns0:c>
      <ns0:c r="Q16" s="31">
        <ns0:f>IF($B16=FALSE,"не выбрана",IF($G$1="","нет маршрута",INDEX('РейлКонтинент'!Q$1:Q$2,$G$1)))</ns0:f>
        <ns0:v>17.9</ns0:v>
      </ns0:c>
      <ns0:c r="R16" s="31">
        <ns0:f>IF($B16=FALSE,"не выбрана",IF($G$1="","нет маршрута",INDEX('РейлКонтинент'!R$1:R$2,$G$1)))</ns0:f>
        <ns0:v>17.9</ns0:v>
      </ns0:c>
      <ns0:c r="S16" s="31">
        <ns0:f>IF($B16=FALSE,"не выбрана",IF($G$1="","нет маршрута",INDEX('РейлКонтинент'!S$1:S$2,$G$1)))</ns0:f>
        <ns0:v>17.5</ns0:v>
      </ns0:c>
      <ns0:c r="T16" s="31">
        <ns0:f>IF($B16=FALSE,"не выбрана",IF($G$1="","нет маршрута",INDEX('РейлКонтинент'!T$1:T$2,$G$1)))</ns0:f>
        <ns0:v>17.5</ns0:v>
      </ns0:c>
      <ns0:c r="U16" s="31">
        <ns0:f>IF($B16=FALSE,"не выбрана",IF($G$1="","нет маршрута",INDEX('РейлКонтинент'!U$1:U$2,$G$1)))</ns0:f>
        <ns0:v>17.5</ns0:v>
      </ns0:c>
      <ns0:c r="V16" s="31">
        <ns0:f>IF($B16=FALSE,"не выбрана",IF($G$1="","нет маршрута",INDEX('РейлКонтинент'!V$1:V$2,$G$1)))</ns0:f>
        <ns0:v>17.5</ns0:v>
      </ns0:c>
      <ns0:c r="W16" s="31">
        <ns0:f>IF($B16=FALSE,"не выбрана",IF($G$1="","нет маршрута",INDEX('РейлКонтинент'!W$1:W$2,$G$1)))</ns0:f>
        <ns0:v>17.5</ns0:v>
      </ns0:c>
      <ns0:c r="X16" s="31">
        <ns0:f>IF($B16=FALSE,"не выбрана",IF($G$1="","нет маршрута",INDEX('РейлКонтинент'!X$1:X$2,$G$1)))</ns0:f>
        <ns0:v>17.1</ns0:v>
      </ns0:c>
      <ns0:c r="Y16" s="31">
        <ns0:f>IF($B16=FALSE,"не выбрана",IF($G$1="","нет маршрута",INDEX('РейлКонтинент'!Y$1:Y$2,$G$1)))</ns0:f>
        <ns0:v>17.1</ns0:v>
      </ns0:c>
      <ns0:c r="Z16" s="31">
        <ns0:f>IF($B16=FALSE,"не выбрана",IF($G$1="","нет маршрута",INDEX('РейлКонтинент'!Z$1:Z$2,$G$1)))</ns0:f>
        <ns0:v>17.1</ns0:v>
      </ns0:c>
      <ns0:c r="AA16" s="31">
        <ns0:f>IF($B16=FALSE,"не выбрана",IF($G$1="","нет маршрута",INDEX('РейлКонтинент'!AA$1:AA$2,$G$1)))</ns0:f>
        <ns0:v>16.7</ns0:v>
      </ns0:c>
      <ns0:c r="AB16" s="31">
        <ns0:f>IF($B16=FALSE,"не выбрана",IF($G$1="","нет маршрута",INDEX('РейлКонтинент'!AB$1:AB$2,$G$1)))</ns0:f>
        <ns0:v>16.7</ns0:v>
      </ns0:c>
      <ns0:c r="AC16" s="31">
        <ns0:f>IF($B16=FALSE,"не выбрана",IF($G$1="","нет маршрута",INDEX('РейлКонтинент'!AC$1:AC$2,$G$1)))</ns0:f>
        <ns0:v>16.5</ns0:v>
      </ns0:c>
      <ns0:c r="AD16" s="31">
        <ns0:f>IF($B16=FALSE,"не выбрана",IF($G$1="","нет маршрута",INDEX('РейлКонтинент'!AD$1:AD$2,$G$1)))</ns0:f>
        <ns0:v>16.3</ns0:v>
      </ns0:c>
      <ns0:c r="AE16" s="31">
        <ns0:f>IF($B16=FALSE,"не выбрана",IF($G$1="","нет маршрута",INDEX('РейлКонтинент'!AE$1:AE$2,$G$1)))</ns0:f>
        <ns0:v>15.9</ns0:v>
      </ns0:c>
      <ns0:c r="AF16" s="31">
        <ns0:f>IF($B16=FALSE,"не выбрана",IF($G$1="","нет маршрута",INDEX('РейлКонтинент'!AF$1:AF$2,$G$1)))</ns0:f>
        <ns0:v>15.5</ns0:v>
      </ns0:c>
      <ns0:c r="AG16" s="31" t="n"/>
      <ns0:c r="AH16" s="31" t="n"/>
      <ns0:c r="AI16" s="31" t="n"/>
      <ns0:c r="AJ16" s="31" t="n"/>
      <ns0:c r="AK16" s="31" t="n"/>
      <ns0:c r="AL16" s="31" t="n"/>
      <ns0:c r="AM16" s="31" t="n"/>
      <ns0:c r="AN16" s="31" t="n"/>
      <ns0:c r="AO16" s="31" t="n"/>
      <ns0:c r="AP16" s="31" t="n"/>
      <ns0:c r="AQ16" s="31" t="n"/>
      <ns0:c r="AR16" s="31" t="n"/>
      <ns0:c r="AS16" s="31" t="n"/>
      <ns0:c r="AT16" s="31" t="n"/>
      <ns0:c r="AU16" s="31" t="n"/>
      <ns0:c r="AV16" s="31" t="n"/>
      <ns0:c r="AW16" s="31" t="n"/>
      <ns0:c r="AX16" s="31" t="n"/>
      <ns0:c r="AY16" s="31" t="n"/>
      <ns0:c r="AZ16" s="31" t="n"/>
      <ns0:c r="BA16" s="31" t="n"/>
      <ns0:c r="BB16" s="31" t="n"/>
      <ns0:c r="BC16" s="31" t="n"/>
      <ns0:c r="BD16" s="31" t="n"/>
      <ns0:c r="BE16" s="31" t="n"/>
      <ns0:c r="BF16" s="31" t="n"/>
      <ns0:c r="BG16" s="31" t="n"/>
      <ns0:c r="BH16" s="31" t="n"/>
      <ns0:c r="BI16" s="31" t="n"/>
      <ns0:c r="BJ16" s="31" t="n"/>
      <ns0:c r="BK16" s="31" t="n"/>
    </ns0:row>
    <ns0:row r="17">
      <ns0:c r="A17" s="31" t="inlineStr">
        <ns0:is>
          <ns0:t>АТЭК</ns0:t>
        </ns0:is>
      </ns0:c>
      <ns0:c r="B17" s="31" t="b">
        <ns0:f>'Графики'!C32</ns0:f>
        <ns0:v>1</ns0:v>
      </ns0:c>
      <ns0:c r="C17" s="31" t="n"/>
      <ns0:c r="D17" s="31">
        <ns0:f>IF($B17=FALSE,"не выбрана",IF($G$1="","нет маршрута",INDEX('АТЭК'!D$1:D$2,$G$1)))</ns0:f>
        <ns0:v>490.0</ns0:v>
      </ns0:c>
      <ns0:c r="E17" s="31">
        <ns0:f>IF($B17=FALSE,"не выбрана",IF($G$1="","нет маршрута",INDEX('АТЭК'!E$1:E$2,$G$1)))</ns0:f>
        <ns0:v>490.0</ns0:v>
      </ns0:c>
      <ns0:c r="F17" s="31">
        <ns0:f>IF($B17=FALSE,"не выбрана",IF($G$1="","нет маршрута",INDEX('АТЭК'!F$1:F$2,$G$1)))</ns0:f>
        <ns0:v>490.0</ns0:v>
      </ns0:c>
      <ns0:c r="G17" s="31">
        <ns0:f>IF($B17=FALSE,"не выбрана",IF($G$1="","нет маршрута",INDEX('АТЭК'!G$1:G$2,$G$1)))</ns0:f>
        <ns0:v>490.0</ns0:v>
      </ns0:c>
      <ns0:c r="H17" s="31">
        <ns0:f>IF($B17=FALSE,"не выбрана",IF($G$1="","нет маршрута",INDEX('АТЭК'!H$1:H$2,$G$1)))</ns0:f>
        <ns0:v>490.0</ns0:v>
      </ns0:c>
      <ns0:c r="I17" s="31">
        <ns0:f>IF($B17=FALSE,"не выбрана",IF($G$1="","нет маршрута",INDEX('АТЭК'!I$1:I$2,$G$1)))</ns0:f>
        <ns0:v>490.0</ns0:v>
      </ns0:c>
      <ns0:c r="J17" s="31">
        <ns0:f>IF($B17=FALSE,"не выбрана",IF($G$1="","нет маршрута",INDEX('АТЭК'!J$1:J$2,$G$1)))</ns0:f>
        <ns0:v>675.0</ns0:v>
      </ns0:c>
      <ns0:c r="K17" s="31">
        <ns0:f>IF($B17=FALSE,"не выбрана",IF($G$1="","нет маршрута",INDEX('АТЭК'!K$1:K$2,$G$1)))</ns0:f>
        <ns0:v>675.0</ns0:v>
      </ns0:c>
      <ns0:c r="L17" s="31">
        <ns0:f>IF($B17=FALSE,"не выбрана",IF($G$1="","нет маршрута",INDEX('АТЭК'!L$1:L$2,$G$1)))</ns0:f>
        <ns0:v>675.0</ns0:v>
      </ns0:c>
      <ns0:c r="M17" s="31">
        <ns0:f>IF($B17=FALSE,"не выбрана",IF($G$1="","нет маршрута",INDEX('АТЭК'!M$1:M$2,$G$1)))</ns0:f>
        <ns0:v>490.0</ns0:v>
      </ns0:c>
      <ns0:c r="N17" s="31">
        <ns0:f>IF($B17=FALSE,"не выбрана",IF($G$1="","нет маршрута",INDEX('АТЭК'!N$1:N$2,$G$1)))</ns0:f>
        <ns0:v>13.5</ns0:v>
      </ns0:c>
      <ns0:c r="O17" s="31">
        <ns0:f>IF($B17=FALSE,"не выбрана",IF($G$1="","нет маршрута",INDEX('АТЭК'!O$1:O$2,$G$1)))</ns0:f>
        <ns0:v>13.5</ns0:v>
      </ns0:c>
      <ns0:c r="P17" s="31">
        <ns0:f>IF($B17=FALSE,"не выбрана",IF($G$1="","нет маршрута",INDEX('АТЭК'!P$1:P$2,$G$1)))</ns0:f>
        <ns0:v>13.5</ns0:v>
      </ns0:c>
      <ns0:c r="Q17" s="31">
        <ns0:f>IF($B17=FALSE,"не выбрана",IF($G$1="","нет маршрута",INDEX('АТЭК'!Q$1:Q$2,$G$1)))</ns0:f>
        <ns0:v>13.1</ns0:v>
      </ns0:c>
      <ns0:c r="R17" s="31">
        <ns0:f>IF($B17=FALSE,"не выбрана",IF($G$1="","нет маршрута",INDEX('АТЭК'!R$1:R$2,$G$1)))</ns0:f>
        <ns0:v>13.1</ns0:v>
      </ns0:c>
      <ns0:c r="S17" s="31">
        <ns0:f>IF($B17=FALSE,"не выбрана",IF($G$1="","нет маршрута",INDEX('АТЭК'!S$1:S$2,$G$1)))</ns0:f>
        <ns0:v>13.1</ns0:v>
      </ns0:c>
      <ns0:c r="T17" s="31">
        <ns0:f>IF($B17=FALSE,"не выбрана",IF($G$1="","нет маршрута",INDEX('АТЭК'!T$1:T$2,$G$1)))</ns0:f>
        <ns0:v>13.1</ns0:v>
      </ns0:c>
      <ns0:c r="U17" s="31">
        <ns0:f>IF($B17=FALSE,"не выбрана",IF($G$1="","нет маршрута",INDEX('АТЭК'!U$1:U$2,$G$1)))</ns0:f>
        <ns0:v>13.1</ns0:v>
      </ns0:c>
      <ns0:c r="V17" s="31">
        <ns0:f>IF($B17=FALSE,"не выбрана",IF($G$1="","нет маршрута",INDEX('АТЭК'!V$1:V$2,$G$1)))</ns0:f>
        <ns0:v>13.1</ns0:v>
      </ns0:c>
      <ns0:c r="W17" s="31">
        <ns0:f>IF($B17=FALSE,"не выбрана",IF($G$1="","нет маршрута",INDEX('АТЭК'!W$1:W$2,$G$1)))</ns0:f>
        <ns0:v>13.1</ns0:v>
      </ns0:c>
      <ns0:c r="X17" s="31">
        <ns0:f>IF($B17=FALSE,"не выбрана",IF($G$1="","нет маршрута",INDEX('АТЭК'!X$1:X$2,$G$1)))</ns0:f>
        <ns0:v>13.1</ns0:v>
      </ns0:c>
      <ns0:c r="Y17" s="31">
        <ns0:f>IF($B17=FALSE,"не выбрана",IF($G$1="","нет маршрута",INDEX('АТЭК'!Y$1:Y$2,$G$1)))</ns0:f>
        <ns0:v>11.5</ns0:v>
      </ns0:c>
      <ns0:c r="Z17" s="31">
        <ns0:f>IF($B17=FALSE,"не выбрана",IF($G$1="","нет маршрута",INDEX('АТЭК'!Z$1:Z$2,$G$1)))</ns0:f>
        <ns0:v>11.5</ns0:v>
      </ns0:c>
      <ns0:c r="AA17" s="31">
        <ns0:f>IF($B17=FALSE,"не выбрана",IF($G$1="","нет маршрута",INDEX('АТЭК'!AA$1:AA$2,$G$1)))</ns0:f>
        <ns0:v>11.5</ns0:v>
      </ns0:c>
      <ns0:c r="AB17" s="31">
        <ns0:f>IF($B17=FALSE,"не выбрана",IF($G$1="","нет маршрута",INDEX('АТЭК'!AB$1:AB$2,$G$1)))</ns0:f>
        <ns0:v>11.5</ns0:v>
      </ns0:c>
      <ns0:c r="AC17" s="31">
        <ns0:f>IF($B17=FALSE,"не выбрана",IF($G$1="","нет маршрута",INDEX('АТЭК'!AC$1:AC$2,$G$1)))</ns0:f>
        <ns0:v>11.5</ns0:v>
      </ns0:c>
      <ns0:c r="AD17" s="31">
        <ns0:f>IF($B17=FALSE,"не выбрана",IF($G$1="","нет маршрута",INDEX('АТЭК'!AD$1:AD$2,$G$1)))</ns0:f>
        <ns0:v>10.8</ns0:v>
      </ns0:c>
      <ns0:c r="AE17" s="31">
        <ns0:f>IF($B17=FALSE,"не выбрана",IF($G$1="","нет маршрута",INDEX('АТЭК'!AE$1:AE$2,$G$1)))</ns0:f>
        <ns0:v>10.8</ns0:v>
      </ns0:c>
      <ns0:c r="AF17" s="31">
        <ns0:f>IF($B17=FALSE,"не выбрана",IF($G$1="","нет маршрута",INDEX('АТЭК'!AF$1:AF$2,$G$1)))</ns0:f>
        <ns0:v>10.8</ns0:v>
      </ns0:c>
      <ns0:c r="AG17" s="31" t="n"/>
      <ns0:c r="AH17" s="31" t="n"/>
      <ns0:c r="AI17" s="31" t="n"/>
      <ns0:c r="AJ17" s="31" t="n"/>
      <ns0:c r="AK17" s="31" t="n"/>
      <ns0:c r="AL17" s="31" t="n"/>
      <ns0:c r="AM17" s="31" t="n"/>
      <ns0:c r="AN17" s="31" t="n"/>
      <ns0:c r="AO17" s="31" t="n"/>
      <ns0:c r="AP17" s="31" t="n"/>
      <ns0:c r="AQ17" s="31" t="n"/>
      <ns0:c r="AR17" s="31" t="n"/>
      <ns0:c r="AS17" s="31" t="n"/>
      <ns0:c r="AT17" s="31" t="n"/>
      <ns0:c r="AU17" s="31" t="n"/>
      <ns0:c r="AV17" s="31" t="n"/>
      <ns0:c r="AW17" s="31" t="n"/>
      <ns0:c r="AX17" s="31" t="n"/>
      <ns0:c r="AY17" s="31" t="n"/>
      <ns0:c r="AZ17" s="31" t="n"/>
      <ns0:c r="BA17" s="31" t="n"/>
      <ns0:c r="BB17" s="31" t="n"/>
      <ns0:c r="BC17" s="31" t="n"/>
      <ns0:c r="BD17" s="31" t="n"/>
      <ns0:c r="BE17" s="31" t="n"/>
      <ns0:c r="BF17" s="31" t="n"/>
      <ns0:c r="BG17" s="31" t="n"/>
      <ns0:c r="BH17" s="31" t="n"/>
      <ns0:c r="BI17" s="31" t="n"/>
      <ns0:c r="BJ17" s="31" t="n"/>
      <ns0:c r="BK17" s="31" t="n"/>
    </ns0:row>
    <ns0:row r="18">
      <ns0:c r="A18" s="31" t="inlineStr">
        <ns0:is>
          <ns0:t>НоваяЛиния</ns0:t>
        </ns0:is>
      </ns0:c>
      <ns0:c r="B18" s="31" t="b">
        <ns0:f>'Графики'!C33</ns0:f>
        <ns0:v>1</ns0:v>
      </ns0:c>
      <ns0:c r="C18" s="31" t="n"/>
      <ns0:c r="D18" s="31">
        <ns0:f>IF($B18=FALSE,"не выбрана",IF($G$1="","нет маршрута",INDEX('НоваяЛиния'!D$1:D$2,$G$1)))</ns0:f>
        <ns0:v>600.0</ns0:v>
      </ns0:c>
      <ns0:c r="E18" s="31">
        <ns0:f>IF($B18=FALSE,"не выбрана",IF($G$1="","нет маршрута",INDEX('НоваяЛиния'!E$1:E$2,$G$1)))</ns0:f>
        <ns0:v>600.0</ns0:v>
      </ns0:c>
      <ns0:c r="F18" s="31">
        <ns0:f>IF($B18=FALSE,"не выбрана",IF($G$1="","нет маршрута",INDEX('НоваяЛиния'!F$1:F$2,$G$1)))</ns0:f>
        <ns0:v>600.0</ns0:v>
      </ns0:c>
      <ns0:c r="G18" s="31">
        <ns0:f>IF($B18=FALSE,"не выбрана",IF($G$1="","нет маршрута",INDEX('НоваяЛиния'!G$1:G$2,$G$1)))</ns0:f>
        <ns0:v>600.0</ns0:v>
      </ns0:c>
      <ns0:c r="H18" s="31">
        <ns0:f>IF($B18=FALSE,"не выбрана",IF($G$1="","нет маршрута",INDEX('НоваяЛиния'!H$1:H$2,$G$1)))</ns0:f>
        <ns0:v>600.0</ns0:v>
      </ns0:c>
      <ns0:c r="I18" s="31">
        <ns0:f>IF($B18=FALSE,"не выбрана",IF($G$1="","нет маршрута",INDEX('НоваяЛиния'!I$1:I$2,$G$1)))</ns0:f>
        <ns0:v>600.0</ns0:v>
      </ns0:c>
      <ns0:c r="J18" s="31">
        <ns0:f>IF($B18=FALSE,"не выбрана",IF($G$1="","нет маршрута",INDEX('НоваяЛиния'!J$1:J$2,$G$1)))</ns0:f>
        <ns0:v>600.0</ns0:v>
      </ns0:c>
      <ns0:c r="K18" s="31">
        <ns0:f>IF($B18=FALSE,"не выбрана",IF($G$1="","нет маршрута",INDEX('НоваяЛиния'!K$1:K$2,$G$1)))</ns0:f>
        <ns0:v>600.0</ns0:v>
      </ns0:c>
      <ns0:c r="L18" s="31">
        <ns0:f>IF($B18=FALSE,"не выбрана",IF($G$1="","нет маршрута",INDEX('НоваяЛиния'!L$1:L$2,$G$1)))</ns0:f>
        <ns0:v>705.0</ns0:v>
      </ns0:c>
      <ns0:c r="M18" s="31">
        <ns0:f>IF($B18=FALSE,"не выбрана",IF($G$1="","нет маршрута",INDEX('НоваяЛиния'!M$1:M$2,$G$1)))</ns0:f>
        <ns0:v>600.0</ns0:v>
      </ns0:c>
      <ns0:c r="N18" s="31">
        <ns0:f>IF($B18=FALSE,"не выбрана",IF($G$1="","нет маршрута",INDEX('НоваяЛиния'!N$1:N$2,$G$1)))</ns0:f>
        <ns0:v>14.1</ns0:v>
      </ns0:c>
      <ns0:c r="O18" s="31">
        <ns0:f>IF($B18=FALSE,"не выбрана",IF($G$1="","нет маршрута",INDEX('НоваяЛиния'!O$1:O$2,$G$1)))</ns0:f>
        <ns0:v>14.1</ns0:v>
      </ns0:c>
      <ns0:c r="P18" s="31">
        <ns0:f>IF($B18=FALSE,"не выбрана",IF($G$1="","нет маршрута",INDEX('НоваяЛиния'!P$1:P$2,$G$1)))</ns0:f>
        <ns0:v>14.1</ns0:v>
      </ns0:c>
      <ns0:c r="Q18" s="31">
        <ns0:f>IF($B18=FALSE,"не выбрана",IF($G$1="","нет маршрута",INDEX('НоваяЛиния'!Q$1:Q$2,$G$1)))</ns0:f>
        <ns0:v>13.5</ns0:v>
      </ns0:c>
      <ns0:c r="R18" s="31">
        <ns0:f>IF($B18=FALSE,"не выбрана",IF($G$1="","нет маршрута",INDEX('НоваяЛиния'!R$1:R$2,$G$1)))</ns0:f>
        <ns0:v>13.5</ns0:v>
      </ns0:c>
      <ns0:c r="S18" s="31">
        <ns0:f>IF($B18=FALSE,"не выбрана",IF($G$1="","нет маршрута",INDEX('НоваяЛиния'!S$1:S$2,$G$1)))</ns0:f>
        <ns0:v>13.5</ns0:v>
      </ns0:c>
      <ns0:c r="T18" s="31">
        <ns0:f>IF($B18=FALSE,"не выбрана",IF($G$1="","нет маршрута",INDEX('НоваяЛиния'!T$1:T$2,$G$1)))</ns0:f>
        <ns0:v>13.5</ns0:v>
      </ns0:c>
      <ns0:c r="U18" s="31">
        <ns0:f>IF($B18=FALSE,"не выбрана",IF($G$1="","нет маршрута",INDEX('НоваяЛиния'!U$1:U$2,$G$1)))</ns0:f>
        <ns0:v>13.5</ns0:v>
      </ns0:c>
      <ns0:c r="V18" s="31">
        <ns0:f>IF($B18=FALSE,"не выбрана",IF($G$1="","нет маршрута",INDEX('НоваяЛиния'!V$1:V$2,$G$1)))</ns0:f>
        <ns0:v>13.5</ns0:v>
      </ns0:c>
      <ns0:c r="W18" s="31">
        <ns0:f>IF($B18=FALSE,"не выбрана",IF($G$1="","нет маршрута",INDEX('НоваяЛиния'!W$1:W$2,$G$1)))</ns0:f>
        <ns0:v>13.3</ns0:v>
      </ns0:c>
      <ns0:c r="X18" s="31">
        <ns0:f>IF($B18=FALSE,"не выбрана",IF($G$1="","нет маршрута",INDEX('НоваяЛиния'!X$1:X$2,$G$1)))</ns0:f>
        <ns0:v>13.3</ns0:v>
      </ns0:c>
      <ns0:c r="Y18" s="31">
        <ns0:f>IF($B18=FALSE,"не выбрана",IF($G$1="","нет маршрута",INDEX('НоваяЛиния'!Y$1:Y$2,$G$1)))</ns0:f>
        <ns0:v>13.3</ns0:v>
      </ns0:c>
      <ns0:c r="Z18" s="31">
        <ns0:f>IF($B18=FALSE,"не выбрана",IF($G$1="","нет маршрута",INDEX('НоваяЛиния'!Z$1:Z$2,$G$1)))</ns0:f>
        <ns0:v>12.9</ns0:v>
      </ns0:c>
      <ns0:c r="AA18" s="31">
        <ns0:f>IF($B18=FALSE,"не выбрана",IF($G$1="","нет маршрута",INDEX('НоваяЛиния'!AA$1:AA$2,$G$1)))</ns0:f>
        <ns0:v>12.9</ns0:v>
      </ns0:c>
      <ns0:c r="AB18" s="31">
        <ns0:f>IF($B18=FALSE,"не выбрана",IF($G$1="","нет маршрута",INDEX('НоваяЛиния'!AB$1:AB$2,$G$1)))</ns0:f>
        <ns0:v>12.9</ns0:v>
      </ns0:c>
      <ns0:c r="AC18" s="31">
        <ns0:f>IF($B18=FALSE,"не выбрана",IF($G$1="","нет маршрута",INDEX('НоваяЛиния'!AC$1:AC$2,$G$1)))</ns0:f>
        <ns0:v>12.6</ns0:v>
      </ns0:c>
      <ns0:c r="AD18" s="31">
        <ns0:f>IF($B18=FALSE,"не выбрана",IF($G$1="","нет маршрута",INDEX('НоваяЛиния'!AD$1:AD$2,$G$1)))</ns0:f>
        <ns0:v>12.6</ns0:v>
      </ns0:c>
      <ns0:c r="AE18" s="31" t="str">
        <ns0:f>IF($B18=FALSE,"не выбрана",IF($G$1="","нет маршрута",INDEX('НоваяЛиния'!AE$1:AE$2,$G$1)))</ns0:f>
        <ns0:v>по запросу</ns0:v>
      </ns0:c>
      <ns0:c r="AF18" s="31" t="str">
        <ns0:f>IF($B18=FALSE,"не выбрана",IF($G$1="","нет маршрута",INDEX('НоваяЛиния'!AF$1:AF$2,$G$1)))</ns0:f>
        <ns0:v>по запросу</ns0:v>
      </ns0:c>
      <ns0:c r="AG18" s="31" t="n"/>
      <ns0:c r="AH18" s="31" t="n"/>
      <ns0:c r="AI18" s="31" t="n"/>
      <ns0:c r="AJ18" s="31" t="n"/>
      <ns0:c r="AK18" s="31" t="n"/>
      <ns0:c r="AL18" s="31" t="n"/>
      <ns0:c r="AM18" s="31" t="n"/>
      <ns0:c r="AN18" s="31" t="n"/>
      <ns0:c r="AO18" s="31" t="n"/>
      <ns0:c r="AP18" s="31" t="n"/>
      <ns0:c r="AQ18" s="31" t="n"/>
      <ns0:c r="AR18" s="31" t="n"/>
      <ns0:c r="AS18" s="31" t="n"/>
      <ns0:c r="AT18" s="31" t="n"/>
      <ns0:c r="AU18" s="31" t="n"/>
      <ns0:c r="AV18" s="31" t="n"/>
      <ns0:c r="AW18" s="31" t="n"/>
      <ns0:c r="AX18" s="31" t="n"/>
      <ns0:c r="AY18" s="31" t="n"/>
      <ns0:c r="AZ18" s="31" t="n"/>
      <ns0:c r="BA18" s="31" t="n"/>
      <ns0:c r="BB18" s="31" t="n"/>
      <ns0:c r="BC18" s="31" t="n"/>
      <ns0:c r="BD18" s="31" t="n"/>
      <ns0:c r="BE18" s="31" t="n"/>
      <ns0:c r="BF18" s="31" t="n"/>
      <ns0:c r="BG18" s="31" t="n"/>
      <ns0:c r="BH18" s="31" t="n"/>
      <ns0:c r="BI18" s="31" t="n"/>
      <ns0:c r="BJ18" s="31" t="n"/>
      <ns0:c r="BK18" s="31" t="n"/>
    </ns0:row>
    <ns0:row r="19">
      <ns0:c r="A19" s="31" t="inlineStr">
        <ns0:is>
          <ns0:t>БСК</ns0:t>
        </ns0:is>
      </ns0:c>
      <ns0:c r="B19" s="31" t="b">
        <ns0:f>'Графики'!C34</ns0:f>
        <ns0:v>1</ns0:v>
      </ns0:c>
      <ns0:c r="C19" s="31" t="n"/>
      <ns0:c r="D19" s="31">
        <ns0:f>IF($B19=FALSE,"не выбрана",IF($G$1="","нет маршрута",INDEX('БСК'!D$1:D$2,$G$1)))</ns0:f>
        <ns0:v>450.0</ns0:v>
      </ns0:c>
      <ns0:c r="E19" s="31">
        <ns0:f>IF($B19=FALSE,"не выбрана",IF($G$1="","нет маршрута",INDEX('БСК'!E$1:E$2,$G$1)))</ns0:f>
        <ns0:v>450.0</ns0:v>
      </ns0:c>
      <ns0:c r="F19" s="31">
        <ns0:f>IF($B19=FALSE,"не выбрана",IF($G$1="","нет маршрута",INDEX('БСК'!F$1:F$2,$G$1)))</ns0:f>
        <ns0:v>450.0</ns0:v>
      </ns0:c>
      <ns0:c r="G19" s="31">
        <ns0:f>IF($B19=FALSE,"не выбрана",IF($G$1="","нет маршрута",INDEX('БСК'!G$1:G$2,$G$1)))</ns0:f>
        <ns0:v>450.0</ns0:v>
      </ns0:c>
      <ns0:c r="H19" s="31">
        <ns0:f>IF($B19=FALSE,"не выбрана",IF($G$1="","нет маршрута",INDEX('БСК'!H$1:H$2,$G$1)))</ns0:f>
        <ns0:v>450.0</ns0:v>
      </ns0:c>
      <ns0:c r="I19" s="31">
        <ns0:f>IF($B19=FALSE,"не выбрана",IF($G$1="","нет маршрута",INDEX('БСК'!I$1:I$2,$G$1)))</ns0:f>
        <ns0:v>450.0</ns0:v>
      </ns0:c>
      <ns0:c r="J19" s="31">
        <ns0:f>IF($B19=FALSE,"не выбрана",IF($G$1="","нет маршрута",INDEX('БСК'!J$1:J$2,$G$1)))</ns0:f>
        <ns0:v>450.0</ns0:v>
      </ns0:c>
      <ns0:c r="K19" s="31">
        <ns0:f>IF($B19=FALSE,"не выбрана",IF($G$1="","нет маршрута",INDEX('БСК'!K$1:K$2,$G$1)))</ns0:f>
        <ns0:v>480.0</ns0:v>
      </ns0:c>
      <ns0:c r="L19" s="31">
        <ns0:f>IF($B19=FALSE,"не выбрана",IF($G$1="","нет маршрута",INDEX('БСК'!L$1:L$2,$G$1)))</ns0:f>
        <ns0:v>600.0</ns0:v>
      </ns0:c>
      <ns0:c r="M19" s="31">
        <ns0:f>IF($B19=FALSE,"не выбрана",IF($G$1="","нет маршрута",INDEX('БСК'!M$1:M$2,$G$1)))</ns0:f>
        <ns0:v>450.0</ns0:v>
      </ns0:c>
      <ns0:c r="N19" s="31">
        <ns0:f>IF($B19=FALSE,"не выбрана",IF($G$1="","нет маршрута",INDEX('БСК'!N$1:N$2,$G$1)))</ns0:f>
        <ns0:v>12.0</ns0:v>
      </ns0:c>
      <ns0:c r="O19" s="31">
        <ns0:f>IF($B19=FALSE,"не выбрана",IF($G$1="","нет маршрута",INDEX('БСК'!O$1:O$2,$G$1)))</ns0:f>
        <ns0:v>12.0</ns0:v>
      </ns0:c>
      <ns0:c r="P19" s="31">
        <ns0:f>IF($B19=FALSE,"не выбрана",IF($G$1="","нет маршрута",INDEX('БСК'!P$1:P$2,$G$1)))</ns0:f>
        <ns0:v>12.0</ns0:v>
      </ns0:c>
      <ns0:c r="Q19" s="31">
        <ns0:f>IF($B19=FALSE,"не выбрана",IF($G$1="","нет маршрута",INDEX('БСК'!Q$1:Q$2,$G$1)))</ns0:f>
        <ns0:v>12.0</ns0:v>
      </ns0:c>
      <ns0:c r="R19" s="31">
        <ns0:f>IF($B19=FALSE,"не выбрана",IF($G$1="","нет маршрута",INDEX('БСК'!R$1:R$2,$G$1)))</ns0:f>
        <ns0:v>12.0</ns0:v>
      </ns0:c>
      <ns0:c r="S19" s="31">
        <ns0:f>IF($B19=FALSE,"не выбрана",IF($G$1="","нет маршрута",INDEX('БСК'!S$1:S$2,$G$1)))</ns0:f>
        <ns0:v>12.0</ns0:v>
      </ns0:c>
      <ns0:c r="T19" s="31">
        <ns0:f>IF($B19=FALSE,"не выбрана",IF($G$1="","нет маршрута",INDEX('БСК'!T$1:T$2,$G$1)))</ns0:f>
        <ns0:v>11.5</ns0:v>
      </ns0:c>
      <ns0:c r="U19" s="31">
        <ns0:f>IF($B19=FALSE,"не выбрана",IF($G$1="","нет маршрута",INDEX('БСК'!U$1:U$2,$G$1)))</ns0:f>
        <ns0:v>11.5</ns0:v>
      </ns0:c>
      <ns0:c r="V19" s="31">
        <ns0:f>IF($B19=FALSE,"не выбрана",IF($G$1="","нет маршрута",INDEX('БСК'!V$1:V$2,$G$1)))</ns0:f>
        <ns0:v>11.5</ns0:v>
      </ns0:c>
      <ns0:c r="W19" s="31">
        <ns0:f>IF($B19=FALSE,"не выбрана",IF($G$1="","нет маршрута",INDEX('БСК'!W$1:W$2,$G$1)))</ns0:f>
        <ns0:v>11.5</ns0:v>
      </ns0:c>
      <ns0:c r="X19" s="31">
        <ns0:f>IF($B19=FALSE,"не выбрана",IF($G$1="","нет маршрута",INDEX('БСК'!X$1:X$2,$G$1)))</ns0:f>
        <ns0:v>11.5</ns0:v>
      </ns0:c>
      <ns0:c r="Y19" s="31">
        <ns0:f>IF($B19=FALSE,"не выбрана",IF($G$1="","нет маршрута",INDEX('БСК'!Y$1:Y$2,$G$1)))</ns0:f>
        <ns0:v>11.0</ns0:v>
      </ns0:c>
      <ns0:c r="Z19" s="31">
        <ns0:f>IF($B19=FALSE,"не выбрана",IF($G$1="","нет маршрута",INDEX('БСК'!Z$1:Z$2,$G$1)))</ns0:f>
        <ns0:v>11.0</ns0:v>
      </ns0:c>
      <ns0:c r="AA19" s="31">
        <ns0:f>IF($B19=FALSE,"не выбрана",IF($G$1="","нет маршрута",INDEX('БСК'!AA$1:AA$2,$G$1)))</ns0:f>
        <ns0:v>10.5</ns0:v>
      </ns0:c>
      <ns0:c r="AB19" s="31">
        <ns0:f>IF($B19=FALSE,"не выбрана",IF($G$1="","нет маршрута",INDEX('БСК'!AB$1:AB$2,$G$1)))</ns0:f>
        <ns0:v>10.5</ns0:v>
      </ns0:c>
      <ns0:c r="AC19" s="31">
        <ns0:f>IF($B19=FALSE,"не выбрана",IF($G$1="","нет маршрута",INDEX('БСК'!AC$1:AC$2,$G$1)))</ns0:f>
        <ns0:v>10.5</ns0:v>
      </ns0:c>
      <ns0:c r="AD19" s="31">
        <ns0:f>IF($B19=FALSE,"не выбрана",IF($G$1="","нет маршрута",INDEX('БСК'!AD$1:AD$2,$G$1)))</ns0:f>
        <ns0:v>10.0</ns0:v>
      </ns0:c>
      <ns0:c r="AE19" s="31">
        <ns0:f>IF($B19=FALSE,"не выбрана",IF($G$1="","нет маршрута",INDEX('БСК'!AE$1:AE$2,$G$1)))</ns0:f>
        <ns0:v>10.0</ns0:v>
      </ns0:c>
      <ns0:c r="AF19" s="31">
        <ns0:f>IF($B19=FALSE,"не выбрана",IF($G$1="","нет маршрута",INDEX('БСК'!AF$1:AF$2,$G$1)))</ns0:f>
        <ns0:v>10.0</ns0:v>
      </ns0:c>
      <ns0:c r="AG19" s="31" t="n"/>
      <ns0:c r="AH19" s="31" t="n"/>
      <ns0:c r="AI19" s="31" t="n"/>
      <ns0:c r="AJ19" s="31" t="n"/>
      <ns0:c r="AK19" s="31" t="n"/>
      <ns0:c r="AL19" s="31" t="n"/>
      <ns0:c r="AM19" s="31" t="n"/>
      <ns0:c r="AN19" s="31" t="n"/>
      <ns0:c r="AO19" s="31" t="n"/>
      <ns0:c r="AP19" s="31" t="n"/>
      <ns0:c r="AQ19" s="31" t="n"/>
      <ns0:c r="AR19" s="31" t="n"/>
      <ns0:c r="AS19" s="31" t="n"/>
      <ns0:c r="AT19" s="31" t="n"/>
      <ns0:c r="AU19" s="31" t="n"/>
      <ns0:c r="AV19" s="31" t="n"/>
      <ns0:c r="AW19" s="31" t="n"/>
      <ns0:c r="AX19" s="31" t="n"/>
      <ns0:c r="AY19" s="31" t="n"/>
      <ns0:c r="AZ19" s="31" t="n"/>
      <ns0:c r="BA19" s="31" t="n"/>
      <ns0:c r="BB19" s="31" t="n"/>
      <ns0:c r="BC19" s="31" t="n"/>
      <ns0:c r="BD19" s="31" t="n"/>
      <ns0:c r="BE19" s="31" t="n"/>
      <ns0:c r="BF19" s="31" t="n"/>
      <ns0:c r="BG19" s="31" t="n"/>
      <ns0:c r="BH19" s="31" t="n"/>
      <ns0:c r="BI19" s="31" t="n"/>
      <ns0:c r="BJ19" s="31" t="n"/>
      <ns0:c r="BK19" s="31" t="n"/>
    </ns0:row>
    <ns0:row r="20">
      <ns0:c r="A20" s="31" t="inlineStr">
        <ns0:is>
          <ns0:t>ЭкспедицияПлюс</ns0:t>
        </ns0:is>
      </ns0:c>
      <ns0:c r="B20" s="31" t="b">
        <ns0:f>'Графики'!C35</ns0:f>
        <ns0:v>1</ns0:v>
      </ns0:c>
      <ns0:c r="C20" s="31" t="n"/>
      <ns0:c r="D20" s="31">
        <ns0:f>IF($B20=FALSE,"не выбрана",IF($G$1="","нет маршрута",INDEX('ЭкспедицияПлюс'!D$1:D$2,$G$1)))</ns0:f>
        <ns0:v>650.0</ns0:v>
      </ns0:c>
      <ns0:c r="E20" s="31">
        <ns0:f>IF($B20=FALSE,"не выбрана",IF($G$1="","нет маршрута",INDEX('ЭкспедицияПлюс'!E$1:E$2,$G$1)))</ns0:f>
        <ns0:v>650.0</ns0:v>
      </ns0:c>
      <ns0:c r="F20" s="31">
        <ns0:f>IF($B20=FALSE,"не выбрана",IF($G$1="","нет маршрута",INDEX('ЭкспедицияПлюс'!F$1:F$2,$G$1)))</ns0:f>
        <ns0:v>650.0</ns0:v>
      </ns0:c>
      <ns0:c r="G20" s="31">
        <ns0:f>IF($B20=FALSE,"не выбрана",IF($G$1="","нет маршрута",INDEX('ЭкспедицияПлюс'!G$1:G$2,$G$1)))</ns0:f>
        <ns0:v>650.0</ns0:v>
      </ns0:c>
      <ns0:c r="H20" s="31">
        <ns0:f>IF($B20=FALSE,"не выбрана",IF($G$1="","нет маршрута",INDEX('ЭкспедицияПлюс'!H$1:H$2,$G$1)))</ns0:f>
        <ns0:v>650.0</ns0:v>
      </ns0:c>
      <ns0:c r="I20" s="31">
        <ns0:f>IF($B20=FALSE,"не выбрана",IF($G$1="","нет маршрута",INDEX('ЭкспедицияПлюс'!I$1:I$2,$G$1)))</ns0:f>
        <ns0:v>650.0</ns0:v>
      </ns0:c>
      <ns0:c r="J20" s="31">
        <ns0:f>IF($B20=FALSE,"не выбрана",IF($G$1="","нет маршрута",INDEX('ЭкспедицияПлюс'!J$1:J$2,$G$1)))</ns0:f>
        <ns0:v>650.0</ns0:v>
      </ns0:c>
      <ns0:c r="K20" s="31">
        <ns0:f>IF($B20=FALSE,"не выбрана",IF($G$1="","нет маршрута",INDEX('ЭкспедицияПлюс'!K$1:K$2,$G$1)))</ns0:f>
        <ns0:v>650.0</ns0:v>
      </ns0:c>
      <ns0:c r="L20" s="31">
        <ns0:f>IF($B20=FALSE,"не выбрана",IF($G$1="","нет маршрута",INDEX('ЭкспедицияПлюс'!L$1:L$2,$G$1)))</ns0:f>
        <ns0:v>747.5</ns0:v>
      </ns0:c>
      <ns0:c r="M20" s="31">
        <ns0:f>IF($B20=FALSE,"не выбрана",IF($G$1="","нет маршрута",INDEX('ЭкспедицияПлюс'!M$1:M$2,$G$1)))</ns0:f>
        <ns0:v>650.0</ns0:v>
      </ns0:c>
      <ns0:c r="N20" s="31">
        <ns0:f>IF($B20=FALSE,"не выбрана",IF($G$1="","нет маршрута",INDEX('ЭкспедицияПлюс'!N$1:N$2,$G$1)))</ns0:f>
        <ns0:v>14.95</ns0:v>
      </ns0:c>
      <ns0:c r="O20" s="31">
        <ns0:f>IF($B20=FALSE,"не выбрана",IF($G$1="","нет маршрута",INDEX('ЭкспедицияПлюс'!O$1:O$2,$G$1)))</ns0:f>
        <ns0:v>14.8</ns0:v>
      </ns0:c>
      <ns0:c r="P20" s="31">
        <ns0:f>IF($B20=FALSE,"не выбрана",IF($G$1="","нет маршрута",INDEX('ЭкспедицияПлюс'!P$1:P$2,$G$1)))</ns0:f>
        <ns0:v>14.8</ns0:v>
      </ns0:c>
      <ns0:c r="Q20" s="31">
        <ns0:f>IF($B20=FALSE,"не выбрана",IF($G$1="","нет маршрута",INDEX('ЭкспедицияПлюс'!Q$1:Q$2,$G$1)))</ns0:f>
        <ns0:v>14.8</ns0:v>
      </ns0:c>
      <ns0:c r="R20" s="31">
        <ns0:f>IF($B20=FALSE,"не выбрана",IF($G$1="","нет маршрута",INDEX('ЭкспедицияПлюс'!R$1:R$2,$G$1)))</ns0:f>
        <ns0:v>14.4542</ns0:v>
      </ns0:c>
      <ns0:c r="S20" s="31">
        <ns0:f>IF($B20=FALSE,"не выбрана",IF($G$1="","нет маршрута",INDEX('ЭкспедицияПлюс'!S$1:S$2,$G$1)))</ns0:f>
        <ns0:v>14.4542</ns0:v>
      </ns0:c>
      <ns0:c r="T20" s="31">
        <ns0:f>IF($B20=FALSE,"не выбрана",IF($G$1="","нет маршрута",INDEX('ЭкспедицияПлюс'!T$1:T$2,$G$1)))</ns0:f>
        <ns0:v>14.341</ns0:v>
      </ns0:c>
      <ns0:c r="U20" s="31">
        <ns0:f>IF($B20=FALSE,"не выбрана",IF($G$1="","нет маршрута",INDEX('ЭкспедицияПлюс'!U$1:U$2,$G$1)))</ns0:f>
        <ns0:v>14.341</ns0:v>
      </ns0:c>
      <ns0:c r="V20" s="31">
        <ns0:f>IF($B20=FALSE,"не выбрана",IF($G$1="","нет маршрута",INDEX('ЭкспедицияПлюс'!V$1:V$2,$G$1)))</ns0:f>
        <ns0:v>14.341</ns0:v>
      </ns0:c>
      <ns0:c r="W20" s="31">
        <ns0:f>IF($B20=FALSE,"не выбрана",IF($G$1="","нет маршрута",INDEX('ЭкспедицияПлюс'!W$1:W$2,$G$1)))</ns0:f>
        <ns0:v>14.341</ns0:v>
      </ns0:c>
      <ns0:c r="X20" s="31">
        <ns0:f>IF($B20=FALSE,"не выбрана",IF($G$1="","нет маршрута",INDEX('ЭкспедицияПлюс'!X$1:X$2,$G$1)))</ns0:f>
        <ns0:v>14.066</ns0:v>
      </ns0:c>
      <ns0:c r="Y20" s="31">
        <ns0:f>IF($B20=FALSE,"не выбрана",IF($G$1="","нет маршрута",INDEX('ЭкспедицияПлюс'!Y$1:Y$2,$G$1)))</ns0:f>
        <ns0:v>14.066</ns0:v>
      </ns0:c>
      <ns0:c r="Z20" s="31">
        <ns0:f>IF($B20=FALSE,"не выбрана",IF($G$1="","нет маршрута",INDEX('ЭкспедицияПлюс'!Z$1:Z$2,$G$1)))</ns0:f>
        <ns0:v>14.066</ns0:v>
      </ns0:c>
      <ns0:c r="AA20" s="31">
        <ns0:f>IF($B20=FALSE,"не выбрана",IF($G$1="","нет маршрута",INDEX('ЭкспедицияПлюс'!AA$1:AA$2,$G$1)))</ns0:f>
        <ns0:v>13.7103</ns0:v>
      </ns0:c>
      <ns0:c r="AB20" s="31">
        <ns0:f>IF($B20=FALSE,"не выбрана",IF($G$1="","нет маршрута",INDEX('ЭкспедицияПлюс'!AB$1:AB$2,$G$1)))</ns0:f>
        <ns0:v>13.3059</ns0:v>
      </ns0:c>
      <ns0:c r="AC20" s="31">
        <ns0:f>IF($B20=FALSE,"не выбрана",IF($G$1="","нет маршрута",INDEX('ЭкспедицияПлюс'!AC$1:AC$2,$G$1)))</ns0:f>
        <ns0:v>13.3059</ns0:v>
      </ns0:c>
      <ns0:c r="AD20" s="31">
        <ns0:f>IF($B20=FALSE,"не выбрана",IF($G$1="","нет маршрута",INDEX('ЭкспедицияПлюс'!AD$1:AD$2,$G$1)))</ns0:f>
        <ns0:v>12.9663</ns0:v>
      </ns0:c>
      <ns0:c r="AE20" s="31">
        <ns0:f>IF($B20=FALSE,"не выбрана",IF($G$1="","нет маршрута",INDEX('ЭкспедицияПлюс'!AE$1:AE$2,$G$1)))</ns0:f>
        <ns0:v>12.9663</ns0:v>
      </ns0:c>
      <ns0:c r="AF20" s="31">
        <ns0:f>IF($B20=FALSE,"не выбрана",IF($G$1="","нет маршрута",INDEX('ЭкспедицияПлюс'!AF$1:AF$2,$G$1)))</ns0:f>
        <ns0:v>12.9663</ns0:v>
      </ns0:c>
      <ns0:c r="AG20" s="31" t="n"/>
      <ns0:c r="AH20" s="31" t="n"/>
      <ns0:c r="AI20" s="31" t="n"/>
      <ns0:c r="AJ20" s="31" t="n"/>
      <ns0:c r="AK20" s="31" t="n"/>
      <ns0:c r="AL20" s="31" t="n"/>
      <ns0:c r="AM20" s="31" t="n"/>
      <ns0:c r="AN20" s="31" t="n"/>
      <ns0:c r="AO20" s="31" t="n"/>
      <ns0:c r="AP20" s="31" t="n"/>
      <ns0:c r="AQ20" s="31" t="n"/>
      <ns0:c r="AR20" s="31" t="n"/>
      <ns0:c r="AS20" s="31" t="n"/>
      <ns0:c r="AT20" s="31" t="n"/>
      <ns0:c r="AU20" s="31" t="n"/>
      <ns0:c r="AV20" s="31" t="n"/>
      <ns0:c r="AW20" s="31" t="n"/>
      <ns0:c r="AX20" s="31" t="n"/>
      <ns0:c r="AY20" s="31" t="n"/>
      <ns0:c r="AZ20" s="31" t="n"/>
      <ns0:c r="BA20" s="31" t="n"/>
      <ns0:c r="BB20" s="31" t="n"/>
      <ns0:c r="BC20" s="31" t="n"/>
      <ns0:c r="BD20" s="31" t="n"/>
      <ns0:c r="BE20" s="31" t="n"/>
      <ns0:c r="BF20" s="31" t="n"/>
      <ns0:c r="BG20" s="31" t="n"/>
      <ns0:c r="BH20" s="31" t="n"/>
      <ns0:c r="BI20" s="31" t="n"/>
      <ns0:c r="BJ20" s="31" t="n"/>
      <ns0:c r="BK20" s="31" t="n"/>
    </ns0:row>
    <ns0:row r="21">
      <ns0:c r="A21" s="31" t="inlineStr">
        <ns0:is>
          <ns0:t>CTSgroup</ns0:t>
        </ns0:is>
      </ns0:c>
      <ns0:c r="B21" s="31" t="b">
        <ns0:f>'Графики'!C36</ns0:f>
        <ns0:v>1</ns0:v>
      </ns0:c>
      <ns0:c r="C21" s="31" t="n"/>
      <ns0:c r="D21" s="31">
        <ns0:f>IF($B21=FALSE,"не выбрана",IF($G$1="","нет маршрута",INDEX('CTSgroup'!D$1:D$2,$G$1)))</ns0:f>
        <ns0:v>300.0</ns0:v>
      </ns0:c>
      <ns0:c r="E21" s="31">
        <ns0:f>IF($B21=FALSE,"не выбрана",IF($G$1="","нет маршрута",INDEX('CTSgroup'!E$1:E$2,$G$1)))</ns0:f>
        <ns0:v>300.0</ns0:v>
      </ns0:c>
      <ns0:c r="F21" s="31">
        <ns0:f>IF($B21=FALSE,"не выбрана",IF($G$1="","нет маршрута",INDEX('CTSgroup'!F$1:F$2,$G$1)))</ns0:f>
        <ns0:v>300.0</ns0:v>
      </ns0:c>
      <ns0:c r="G21" s="31">
        <ns0:f>IF($B21=FALSE,"не выбрана",IF($G$1="","нет маршрута",INDEX('CTSgroup'!G$1:G$2,$G$1)))</ns0:f>
        <ns0:v>300.0</ns0:v>
      </ns0:c>
      <ns0:c r="H21" s="31">
        <ns0:f>IF($B21=FALSE,"не выбрана",IF($G$1="","нет маршрута",INDEX('CTSgroup'!H$1:H$2,$G$1)))</ns0:f>
        <ns0:v>300.0</ns0:v>
      </ns0:c>
      <ns0:c r="I21" s="31">
        <ns0:f>IF($B21=FALSE,"не выбрана",IF($G$1="","нет маршрута",INDEX('CTSgroup'!I$1:I$2,$G$1)))</ns0:f>
        <ns0:v>300.0</ns0:v>
      </ns0:c>
      <ns0:c r="J21" s="31">
        <ns0:f>IF($B21=FALSE,"не выбрана",IF($G$1="","нет маршрута",INDEX('CTSgroup'!J$1:J$2,$G$1)))</ns0:f>
        <ns0:v>346.5</ns0:v>
      </ns0:c>
      <ns0:c r="K21" s="31">
        <ns0:f>IF($B21=FALSE,"не выбрана",IF($G$1="","нет маршрута",INDEX('CTSgroup'!K$1:K$2,$G$1)))</ns0:f>
        <ns0:v>396.0</ns0:v>
      </ns0:c>
      <ns0:c r="L21" s="31">
        <ns0:f>IF($B21=FALSE,"не выбрана",IF($G$1="","нет маршрута",INDEX('CTSgroup'!L$1:L$2,$G$1)))</ns0:f>
        <ns0:v>495.0</ns0:v>
      </ns0:c>
      <ns0:c r="M21" s="31">
        <ns0:f>IF($B21=FALSE,"не выбрана",IF($G$1="","нет маршрута",INDEX('CTSgroup'!M$1:M$2,$G$1)))</ns0:f>
        <ns0:v>300.0</ns0:v>
      </ns0:c>
      <ns0:c r="N21" s="31">
        <ns0:f>IF($B21=FALSE,"не выбрана",IF($G$1="","нет маршрута",INDEX('CTSgroup'!N$1:N$2,$G$1)))</ns0:f>
        <ns0:v>9.9</ns0:v>
      </ns0:c>
      <ns0:c r="O21" s="31">
        <ns0:f>IF($B21=FALSE,"не выбрана",IF($G$1="","нет маршрута",INDEX('CTSgroup'!O$1:O$2,$G$1)))</ns0:f>
        <ns0:v>9.9</ns0:v>
      </ns0:c>
      <ns0:c r="P21" s="31">
        <ns0:f>IF($B21=FALSE,"не выбрана",IF($G$1="","нет маршрута",INDEX('CTSgroup'!P$1:P$2,$G$1)))</ns0:f>
        <ns0:v>9.7</ns0:v>
      </ns0:c>
      <ns0:c r="Q21" s="31">
        <ns0:f>IF($B21=FALSE,"не выбрана",IF($G$1="","нет маршрута",INDEX('CTSgroup'!Q$1:Q$2,$G$1)))</ns0:f>
        <ns0:v>9.7</ns0:v>
      </ns0:c>
      <ns0:c r="R21" s="31">
        <ns0:f>IF($B21=FALSE,"не выбрана",IF($G$1="","нет маршрута",INDEX('CTSgroup'!R$1:R$2,$G$1)))</ns0:f>
        <ns0:v>9.7</ns0:v>
      </ns0:c>
      <ns0:c r="S21" s="31">
        <ns0:f>IF($B21=FALSE,"не выбрана",IF($G$1="","нет маршрута",INDEX('CTSgroup'!S$1:S$2,$G$1)))</ns0:f>
        <ns0:v>9.7</ns0:v>
      </ns0:c>
      <ns0:c r="T21" s="31">
        <ns0:f>IF($B21=FALSE,"не выбрана",IF($G$1="","нет маршрута",INDEX('CTSgroup'!T$1:T$2,$G$1)))</ns0:f>
        <ns0:v>9.5</ns0:v>
      </ns0:c>
      <ns0:c r="U21" s="31">
        <ns0:f>IF($B21=FALSE,"не выбрана",IF($G$1="","нет маршрута",INDEX('CTSgroup'!U$1:U$2,$G$1)))</ns0:f>
        <ns0:v>9.5</ns0:v>
      </ns0:c>
      <ns0:c r="V21" s="31">
        <ns0:f>IF($B21=FALSE,"не выбрана",IF($G$1="","нет маршрута",INDEX('CTSgroup'!V$1:V$2,$G$1)))</ns0:f>
        <ns0:v>9.5</ns0:v>
      </ns0:c>
      <ns0:c r="W21" s="31">
        <ns0:f>IF($B21=FALSE,"не выбрана",IF($G$1="","нет маршрута",INDEX('CTSgroup'!W$1:W$2,$G$1)))</ns0:f>
        <ns0:v>9.5</ns0:v>
      </ns0:c>
      <ns0:c r="X21" s="31">
        <ns0:f>IF($B21=FALSE,"не выбрана",IF($G$1="","нет маршрута",INDEX('CTSgroup'!X$1:X$2,$G$1)))</ns0:f>
        <ns0:v>9.5</ns0:v>
      </ns0:c>
      <ns0:c r="Y21" s="31">
        <ns0:f>IF($B21=FALSE,"не выбрана",IF($G$1="","нет маршрута",INDEX('CTSgroup'!Y$1:Y$2,$G$1)))</ns0:f>
        <ns0:v>9.3</ns0:v>
      </ns0:c>
      <ns0:c r="Z21" s="31">
        <ns0:f>IF($B21=FALSE,"не выбрана",IF($G$1="","нет маршрута",INDEX('CTSgroup'!Z$1:Z$2,$G$1)))</ns0:f>
        <ns0:v>9.3</ns0:v>
      </ns0:c>
      <ns0:c r="AA21" s="31">
        <ns0:f>IF($B21=FALSE,"не выбрана",IF($G$1="","нет маршрута",INDEX('CTSgroup'!AA$1:AA$2,$G$1)))</ns0:f>
        <ns0:v>9.0</ns0:v>
      </ns0:c>
      <ns0:c r="AB21" s="31">
        <ns0:f>IF($B21=FALSE,"не выбрана",IF($G$1="","нет маршрута",INDEX('CTSgroup'!AB$1:AB$2,$G$1)))</ns0:f>
        <ns0:v>9.0</ns0:v>
      </ns0:c>
      <ns0:c r="AC21" s="31">
        <ns0:f>IF($B21=FALSE,"не выбрана",IF($G$1="","нет маршрута",INDEX('CTSgroup'!AC$1:AC$2,$G$1)))</ns0:f>
        <ns0:v>9.0</ns0:v>
      </ns0:c>
      <ns0:c r="AD21" s="31">
        <ns0:f>IF($B21=FALSE,"не выбрана",IF($G$1="","нет маршрута",INDEX('CTSgroup'!AD$1:AD$2,$G$1)))</ns0:f>
        <ns0:v>9.0</ns0:v>
      </ns0:c>
      <ns0:c r="AE21" s="31">
        <ns0:f>IF($B21=FALSE,"не выбрана",IF($G$1="","нет маршрута",INDEX('CTSgroup'!AE$1:AE$2,$G$1)))</ns0:f>
        <ns0:v>9.0</ns0:v>
      </ns0:c>
      <ns0:c r="AF21" s="31">
        <ns0:f>IF($B21=FALSE,"не выбрана",IF($G$1="","нет маршрута",INDEX('CTSgroup'!AF$1:AF$2,$G$1)))</ns0:f>
        <ns0:v>9.0</ns0:v>
      </ns0:c>
      <ns0:c r="AG21" s="31" t="n"/>
      <ns0:c r="AH21" s="31" t="n"/>
      <ns0:c r="AI21" s="31" t="n"/>
      <ns0:c r="AJ21" s="31" t="n"/>
      <ns0:c r="AK21" s="31" t="n"/>
      <ns0:c r="AL21" s="31" t="n"/>
      <ns0:c r="AM21" s="31" t="n"/>
      <ns0:c r="AN21" s="31" t="n"/>
      <ns0:c r="AO21" s="31" t="n"/>
      <ns0:c r="AP21" s="31" t="n"/>
      <ns0:c r="AQ21" s="31" t="n"/>
      <ns0:c r="AR21" s="31" t="n"/>
      <ns0:c r="AS21" s="31" t="n"/>
      <ns0:c r="AT21" s="31" t="n"/>
      <ns0:c r="AU21" s="31" t="n"/>
      <ns0:c r="AV21" s="31" t="n"/>
      <ns0:c r="AW21" s="31" t="n"/>
      <ns0:c r="AX21" s="31" t="n"/>
      <ns0:c r="AY21" s="31" t="n"/>
      <ns0:c r="AZ21" s="31" t="n"/>
      <ns0:c r="BA21" s="31" t="n"/>
      <ns0:c r="BB21" s="31" t="n"/>
      <ns0:c r="BC21" s="31" t="n"/>
      <ns0:c r="BD21" s="31" t="n"/>
      <ns0:c r="BE21" s="31" t="n"/>
      <ns0:c r="BF21" s="31" t="n"/>
      <ns0:c r="BG21" s="31" t="n"/>
      <ns0:c r="BH21" s="31" t="n"/>
      <ns0:c r="BI21" s="31" t="n"/>
      <ns0:c r="BJ21" s="31" t="n"/>
      <ns0:c r="BK21" s="31" t="n"/>
    </ns0:row>
    <ns0:row r="22">
      <ns0:c r="A22" s="31" t="inlineStr">
        <ns0:is>
          <ns0:t>Енисей</ns0:t>
        </ns0:is>
      </ns0:c>
      <ns0:c r="B22" s="31" t="b">
        <ns0:f>'Графики'!C37</ns0:f>
        <ns0:v>0</ns0:v>
      </ns0:c>
      <ns0:c r="C22" s="31" t="n"/>
      <ns0:c r="D22" s="31" t="str">
        <ns0:f>IF($B22=FALSE,"не выбрана",IF($G$1="","нет маршрута",INDEX('Енисей'!D$1:D$2,$G$1)))</ns0:f>
        <ns0:v>не выбрана</ns0:v>
      </ns0:c>
      <ns0:c r="E22" s="31" t="str">
        <ns0:f>IF($B22=FALSE,"не выбрана",IF($G$1="","нет маршрута",INDEX('Енисей'!E$1:E$2,$G$1)))</ns0:f>
        <ns0:v>не выбрана</ns0:v>
      </ns0:c>
      <ns0:c r="F22" s="31" t="str">
        <ns0:f>IF($B22=FALSE,"не выбрана",IF($G$1="","нет маршрута",INDEX('Енисей'!F$1:F$2,$G$1)))</ns0:f>
        <ns0:v>не выбрана</ns0:v>
      </ns0:c>
      <ns0:c r="G22" s="31" t="str">
        <ns0:f>IF($B22=FALSE,"не выбрана",IF($G$1="","нет маршрута",INDEX('Енисей'!G$1:G$2,$G$1)))</ns0:f>
        <ns0:v>не выбрана</ns0:v>
      </ns0:c>
      <ns0:c r="H22" s="31" t="str">
        <ns0:f>IF($B22=FALSE,"не выбрана",IF($G$1="","нет маршрута",INDEX('Енисей'!H$1:H$2,$G$1)))</ns0:f>
        <ns0:v>не выбрана</ns0:v>
      </ns0:c>
      <ns0:c r="I22" s="31" t="str">
        <ns0:f>IF($B22=FALSE,"не выбрана",IF($G$1="","нет маршрута",INDEX('Енисей'!I$1:I$2,$G$1)))</ns0:f>
        <ns0:v>не выбрана</ns0:v>
      </ns0:c>
      <ns0:c r="J22" s="31" t="str">
        <ns0:f>IF($B22=FALSE,"не выбрана",IF($G$1="","нет маршрута",INDEX('Енисей'!J$1:J$2,$G$1)))</ns0:f>
        <ns0:v>не выбрана</ns0:v>
      </ns0:c>
      <ns0:c r="K22" s="31" t="str">
        <ns0:f>IF($B22=FALSE,"не выбрана",IF($G$1="","нет маршрута",INDEX('Енисей'!K$1:K$2,$G$1)))</ns0:f>
        <ns0:v>не выбрана</ns0:v>
      </ns0:c>
      <ns0:c r="L22" s="31" t="str">
        <ns0:f>IF($B22=FALSE,"не выбрана",IF($G$1="","нет маршрута",INDEX('Енисей'!L$1:L$2,$G$1)))</ns0:f>
        <ns0:v>не выбрана</ns0:v>
      </ns0:c>
      <ns0:c r="M22" s="31" t="str">
        <ns0:f>IF($B22=FALSE,"не выбрана",IF($G$1="","нет маршрута",INDEX('Енисей'!M$1:M$2,$G$1)))</ns0:f>
        <ns0:v>не выбрана</ns0:v>
      </ns0:c>
      <ns0:c r="N22" s="31" t="str">
        <ns0:f>IF($B22=FALSE,"не выбрана",IF($G$1="","нет маршрута",INDEX('Енисей'!N$1:N$2,$G$1)))</ns0:f>
        <ns0:v>не выбрана</ns0:v>
      </ns0:c>
      <ns0:c r="O22" s="31" t="str">
        <ns0:f>IF($B22=FALSE,"не выбрана",IF($G$1="","нет маршрута",INDEX('Енисей'!O$1:O$2,$G$1)))</ns0:f>
        <ns0:v>не выбрана</ns0:v>
      </ns0:c>
      <ns0:c r="P22" s="31" t="str">
        <ns0:f>IF($B22=FALSE,"не выбрана",IF($G$1="","нет маршрута",INDEX('Енисей'!P$1:P$2,$G$1)))</ns0:f>
        <ns0:v>не выбрана</ns0:v>
      </ns0:c>
      <ns0:c r="Q22" s="31" t="str">
        <ns0:f>IF($B22=FALSE,"не выбрана",IF($G$1="","нет маршрута",INDEX('Енисей'!Q$1:Q$2,$G$1)))</ns0:f>
        <ns0:v>не выбрана</ns0:v>
      </ns0:c>
      <ns0:c r="R22" s="31" t="str">
        <ns0:f>IF($B22=FALSE,"не выбрана",IF($G$1="","нет маршрута",INDEX('Енисей'!R$1:R$2,$G$1)))</ns0:f>
        <ns0:v>не выбрана</ns0:v>
      </ns0:c>
      <ns0:c r="S22" s="31" t="str">
        <ns0:f>IF($B22=FALSE,"не выбрана",IF($G$1="","нет маршрута",INDEX('Енисей'!S$1:S$2,$G$1)))</ns0:f>
        <ns0:v>не выбрана</ns0:v>
      </ns0:c>
      <ns0:c r="T22" s="31" t="str">
        <ns0:f>IF($B22=FALSE,"не выбрана",IF($G$1="","нет маршрута",INDEX('Енисей'!T$1:T$2,$G$1)))</ns0:f>
        <ns0:v>не выбрана</ns0:v>
      </ns0:c>
      <ns0:c r="U22" s="31" t="str">
        <ns0:f>IF($B22=FALSE,"не выбрана",IF($G$1="","нет маршрута",INDEX('Енисей'!U$1:U$2,$G$1)))</ns0:f>
        <ns0:v>не выбрана</ns0:v>
      </ns0:c>
      <ns0:c r="V22" s="31" t="str">
        <ns0:f>IF($B22=FALSE,"не выбрана",IF($G$1="","нет маршрута",INDEX('Енисей'!V$1:V$2,$G$1)))</ns0:f>
        <ns0:v>не выбрана</ns0:v>
      </ns0:c>
      <ns0:c r="W22" s="31" t="str">
        <ns0:f>IF($B22=FALSE,"не выбрана",IF($G$1="","нет маршрута",INDEX('Енисей'!W$1:W$2,$G$1)))</ns0:f>
        <ns0:v>не выбрана</ns0:v>
      </ns0:c>
      <ns0:c r="X22" s="31" t="str">
        <ns0:f>IF($B22=FALSE,"не выбрана",IF($G$1="","нет маршрута",INDEX('Енисей'!X$1:X$2,$G$1)))</ns0:f>
        <ns0:v>не выбрана</ns0:v>
      </ns0:c>
      <ns0:c r="Y22" s="31" t="str">
        <ns0:f>IF($B22=FALSE,"не выбрана",IF($G$1="","нет маршрута",INDEX('Енисей'!Y$1:Y$2,$G$1)))</ns0:f>
        <ns0:v>не выбрана</ns0:v>
      </ns0:c>
      <ns0:c r="Z22" s="31" t="str">
        <ns0:f>IF($B22=FALSE,"не выбрана",IF($G$1="","нет маршрута",INDEX('Енисей'!Z$1:Z$2,$G$1)))</ns0:f>
        <ns0:v>не выбрана</ns0:v>
      </ns0:c>
      <ns0:c r="AA22" s="31" t="str">
        <ns0:f>IF($B22=FALSE,"не выбрана",IF($G$1="","нет маршрута",INDEX('Енисей'!AA$1:AA$2,$G$1)))</ns0:f>
        <ns0:v>не выбрана</ns0:v>
      </ns0:c>
      <ns0:c r="AB22" s="31" t="str">
        <ns0:f>IF($B22=FALSE,"не выбрана",IF($G$1="","нет маршрута",INDEX('Енисей'!AB$1:AB$2,$G$1)))</ns0:f>
        <ns0:v>не выбрана</ns0:v>
      </ns0:c>
      <ns0:c r="AC22" s="31" t="str">
        <ns0:f>IF($B22=FALSE,"не выбрана",IF($G$1="","нет маршрута",INDEX('Енисей'!AC$1:AC$2,$G$1)))</ns0:f>
        <ns0:v>не выбрана</ns0:v>
      </ns0:c>
      <ns0:c r="AD22" s="31" t="str">
        <ns0:f>IF($B22=FALSE,"не выбрана",IF($G$1="","нет маршрута",INDEX('Енисей'!AD$1:AD$2,$G$1)))</ns0:f>
        <ns0:v>не выбрана</ns0:v>
      </ns0:c>
      <ns0:c r="AE22" s="31" t="str">
        <ns0:f>IF($B22=FALSE,"не выбрана",IF($G$1="","нет маршрута",INDEX('Енисей'!AE$1:AE$2,$G$1)))</ns0:f>
        <ns0:v>не выбрана</ns0:v>
      </ns0:c>
      <ns0:c r="AF22" s="31" t="str">
        <ns0:f>IF($B22=FALSE,"не выбрана",IF($G$1="","нет маршрута",INDEX('Енисей'!AF$1:AF$2,$G$1)))</ns0:f>
        <ns0:v>не выбрана</ns0:v>
      </ns0:c>
      <ns0:c r="AG22" s="31" t="n"/>
      <ns0:c r="AH22" s="31" t="n"/>
      <ns0:c r="AI22" s="31" t="n"/>
      <ns0:c r="AJ22" s="31" t="n"/>
      <ns0:c r="AK22" s="31" t="n"/>
      <ns0:c r="AL22" s="31" t="n"/>
      <ns0:c r="AM22" s="31" t="n"/>
      <ns0:c r="AN22" s="31" t="n"/>
      <ns0:c r="AO22" s="31" t="n"/>
      <ns0:c r="AP22" s="31" t="n"/>
      <ns0:c r="AQ22" s="31" t="n"/>
      <ns0:c r="AR22" s="31" t="n"/>
      <ns0:c r="AS22" s="31" t="n"/>
      <ns0:c r="AT22" s="31" t="n"/>
      <ns0:c r="AU22" s="31" t="n"/>
      <ns0:c r="AV22" s="31" t="n"/>
      <ns0:c r="AW22" s="31" t="n"/>
      <ns0:c r="AX22" s="31" t="n"/>
      <ns0:c r="AY22" s="31" t="n"/>
      <ns0:c r="AZ22" s="31" t="n"/>
      <ns0:c r="BA22" s="31" t="n"/>
      <ns0:c r="BB22" s="31" t="n"/>
      <ns0:c r="BC22" s="31" t="n"/>
      <ns0:c r="BD22" s="31" t="n"/>
      <ns0:c r="BE22" s="31" t="n"/>
      <ns0:c r="BF22" s="31" t="n"/>
      <ns0:c r="BG22" s="31" t="n"/>
      <ns0:c r="BH22" s="31" t="n"/>
      <ns0:c r="BI22" s="31" t="n"/>
      <ns0:c r="BJ22" s="31" t="n"/>
      <ns0:c r="BK22" s="31" t="n"/>
    </ns0:row>
    <ns0:row r="23">
      <ns0:c r="A23" s="31" t="inlineStr">
        <ns0:is>
          <ns0:t>Терминал</ns0:t>
        </ns0:is>
      </ns0:c>
      <ns0:c r="B23" s="31" t="b">
        <ns0:f>'Графики'!C38</ns0:f>
        <ns0:v>0</ns0:v>
      </ns0:c>
      <ns0:c r="C23" s="31" t="n"/>
      <ns0:c r="D23" s="31" t="str">
        <ns0:f>IF($B23=FALSE,"не выбрана",IF($G$1="","нет маршрута",INDEX('Терминал'!D$1:D$2,$G$1)))</ns0:f>
        <ns0:v>не выбрана</ns0:v>
      </ns0:c>
      <ns0:c r="E23" s="31" t="str">
        <ns0:f>IF($B23=FALSE,"не выбрана",IF($G$1="","нет маршрута",INDEX('Терминал'!E$1:E$2,$G$1)))</ns0:f>
        <ns0:v>не выбрана</ns0:v>
      </ns0:c>
      <ns0:c r="F23" s="31" t="str">
        <ns0:f>IF($B23=FALSE,"не выбрана",IF($G$1="","нет маршрута",INDEX('Терминал'!F$1:F$2,$G$1)))</ns0:f>
        <ns0:v>не выбрана</ns0:v>
      </ns0:c>
      <ns0:c r="G23" s="31" t="str">
        <ns0:f>IF($B23=FALSE,"не выбрана",IF($G$1="","нет маршрута",INDEX('Терминал'!G$1:G$2,$G$1)))</ns0:f>
        <ns0:v>не выбрана</ns0:v>
      </ns0:c>
      <ns0:c r="H23" s="31" t="str">
        <ns0:f>IF($B23=FALSE,"не выбрана",IF($G$1="","нет маршрута",INDEX('Терминал'!H$1:H$2,$G$1)))</ns0:f>
        <ns0:v>не выбрана</ns0:v>
      </ns0:c>
      <ns0:c r="I23" s="31" t="str">
        <ns0:f>IF($B23=FALSE,"не выбрана",IF($G$1="","нет маршрута",INDEX('Терминал'!I$1:I$2,$G$1)))</ns0:f>
        <ns0:v>не выбрана</ns0:v>
      </ns0:c>
      <ns0:c r="J23" s="31" t="str">
        <ns0:f>IF($B23=FALSE,"не выбрана",IF($G$1="","нет маршрута",INDEX('Терминал'!J$1:J$2,$G$1)))</ns0:f>
        <ns0:v>не выбрана</ns0:v>
      </ns0:c>
      <ns0:c r="K23" s="31" t="str">
        <ns0:f>IF($B23=FALSE,"не выбрана",IF($G$1="","нет маршрута",INDEX('Терминал'!K$1:K$2,$G$1)))</ns0:f>
        <ns0:v>не выбрана</ns0:v>
      </ns0:c>
      <ns0:c r="L23" s="31" t="str">
        <ns0:f>IF($B23=FALSE,"не выбрана",IF($G$1="","нет маршрута",INDEX('Терминал'!L$1:L$2,$G$1)))</ns0:f>
        <ns0:v>не выбрана</ns0:v>
      </ns0:c>
      <ns0:c r="M23" s="31" t="str">
        <ns0:f>IF($B23=FALSE,"не выбрана",IF($G$1="","нет маршрута",INDEX('Терминал'!M$1:M$2,$G$1)))</ns0:f>
        <ns0:v>не выбрана</ns0:v>
      </ns0:c>
      <ns0:c r="N23" s="31" t="str">
        <ns0:f>IF($B23=FALSE,"не выбрана",IF($G$1="","нет маршрута",INDEX('Терминал'!N$1:N$2,$G$1)))</ns0:f>
        <ns0:v>не выбрана</ns0:v>
      </ns0:c>
      <ns0:c r="O23" s="31" t="str">
        <ns0:f>IF($B23=FALSE,"не выбрана",IF($G$1="","нет маршрута",INDEX('Терминал'!O$1:O$2,$G$1)))</ns0:f>
        <ns0:v>не выбрана</ns0:v>
      </ns0:c>
      <ns0:c r="P23" s="31" t="str">
        <ns0:f>IF($B23=FALSE,"не выбрана",IF($G$1="","нет маршрута",INDEX('Терминал'!P$1:P$2,$G$1)))</ns0:f>
        <ns0:v>не выбрана</ns0:v>
      </ns0:c>
      <ns0:c r="Q23" s="31" t="str">
        <ns0:f>IF($B23=FALSE,"не выбрана",IF($G$1="","нет маршрута",INDEX('Терминал'!Q$1:Q$2,$G$1)))</ns0:f>
        <ns0:v>не выбрана</ns0:v>
      </ns0:c>
      <ns0:c r="R23" s="31" t="str">
        <ns0:f>IF($B23=FALSE,"не выбрана",IF($G$1="","нет маршрута",INDEX('Терминал'!R$1:R$2,$G$1)))</ns0:f>
        <ns0:v>не выбрана</ns0:v>
      </ns0:c>
      <ns0:c r="S23" s="31" t="str">
        <ns0:f>IF($B23=FALSE,"не выбрана",IF($G$1="","нет маршрута",INDEX('Терминал'!S$1:S$2,$G$1)))</ns0:f>
        <ns0:v>не выбрана</ns0:v>
      </ns0:c>
      <ns0:c r="T23" s="31" t="str">
        <ns0:f>IF($B23=FALSE,"не выбрана",IF($G$1="","нет маршрута",INDEX('Терминал'!T$1:T$2,$G$1)))</ns0:f>
        <ns0:v>не выбрана</ns0:v>
      </ns0:c>
      <ns0:c r="U23" s="31" t="str">
        <ns0:f>IF($B23=FALSE,"не выбрана",IF($G$1="","нет маршрута",INDEX('Терминал'!U$1:U$2,$G$1)))</ns0:f>
        <ns0:v>не выбрана</ns0:v>
      </ns0:c>
      <ns0:c r="V23" s="31" t="str">
        <ns0:f>IF($B23=FALSE,"не выбрана",IF($G$1="","нет маршрута",INDEX('Терминал'!V$1:V$2,$G$1)))</ns0:f>
        <ns0:v>не выбрана</ns0:v>
      </ns0:c>
      <ns0:c r="W23" s="31" t="str">
        <ns0:f>IF($B23=FALSE,"не выбрана",IF($G$1="","нет маршрута",INDEX('Терминал'!W$1:W$2,$G$1)))</ns0:f>
        <ns0:v>не выбрана</ns0:v>
      </ns0:c>
      <ns0:c r="X23" s="31" t="str">
        <ns0:f>IF($B23=FALSE,"не выбрана",IF($G$1="","нет маршрута",INDEX('Терминал'!X$1:X$2,$G$1)))</ns0:f>
        <ns0:v>не выбрана</ns0:v>
      </ns0:c>
      <ns0:c r="Y23" s="31" t="str">
        <ns0:f>IF($B23=FALSE,"не выбрана",IF($G$1="","нет маршрута",INDEX('Терминал'!Y$1:Y$2,$G$1)))</ns0:f>
        <ns0:v>не выбрана</ns0:v>
      </ns0:c>
      <ns0:c r="Z23" s="31" t="str">
        <ns0:f>IF($B23=FALSE,"не выбрана",IF($G$1="","нет маршрута",INDEX('Терминал'!Z$1:Z$2,$G$1)))</ns0:f>
        <ns0:v>не выбрана</ns0:v>
      </ns0:c>
      <ns0:c r="AA23" s="31" t="str">
        <ns0:f>IF($B23=FALSE,"не выбрана",IF($G$1="","нет маршрута",INDEX('Терминал'!AA$1:AA$2,$G$1)))</ns0:f>
        <ns0:v>не выбрана</ns0:v>
      </ns0:c>
      <ns0:c r="AB23" s="31" t="str">
        <ns0:f>IF($B23=FALSE,"не выбрана",IF($G$1="","нет маршрута",INDEX('Терминал'!AB$1:AB$2,$G$1)))</ns0:f>
        <ns0:v>не выбрана</ns0:v>
      </ns0:c>
      <ns0:c r="AC23" s="31" t="str">
        <ns0:f>IF($B23=FALSE,"не выбрана",IF($G$1="","нет маршрута",INDEX('Терминал'!AC$1:AC$2,$G$1)))</ns0:f>
        <ns0:v>не выбрана</ns0:v>
      </ns0:c>
      <ns0:c r="AD23" s="31" t="str">
        <ns0:f>IF($B23=FALSE,"не выбрана",IF($G$1="","нет маршрута",INDEX('Терминал'!AD$1:AD$2,$G$1)))</ns0:f>
        <ns0:v>не выбрана</ns0:v>
      </ns0:c>
      <ns0:c r="AE23" s="31" t="str">
        <ns0:f>IF($B23=FALSE,"не выбрана",IF($G$1="","нет маршрута",INDEX('Терминал'!AE$1:AE$2,$G$1)))</ns0:f>
        <ns0:v>не выбрана</ns0:v>
      </ns0:c>
      <ns0:c r="AF23" s="31" t="str">
        <ns0:f>IF($B23=FALSE,"не выбрана",IF($G$1="","нет маршрута",INDEX('Терминал'!AF$1:AF$2,$G$1)))</ns0:f>
        <ns0:v>не выбрана</ns0:v>
      </ns0:c>
      <ns0:c r="AG23" s="31" t="n"/>
      <ns0:c r="AH23" s="31" t="n"/>
      <ns0:c r="AI23" s="31" t="n"/>
      <ns0:c r="AJ23" s="31" t="n"/>
      <ns0:c r="AK23" s="31" t="n"/>
      <ns0:c r="AL23" s="31" t="n"/>
      <ns0:c r="AM23" s="31" t="n"/>
      <ns0:c r="AN23" s="31" t="n"/>
      <ns0:c r="AO23" s="31" t="n"/>
      <ns0:c r="AP23" s="31" t="n"/>
      <ns0:c r="AQ23" s="31" t="n"/>
      <ns0:c r="AR23" s="31" t="n"/>
      <ns0:c r="AS23" s="31" t="n"/>
      <ns0:c r="AT23" s="31" t="n"/>
      <ns0:c r="AU23" s="31" t="n"/>
      <ns0:c r="AV23" s="31" t="n"/>
      <ns0:c r="AW23" s="31" t="n"/>
      <ns0:c r="AX23" s="31" t="n"/>
      <ns0:c r="AY23" s="31" t="n"/>
      <ns0:c r="AZ23" s="31" t="n"/>
      <ns0:c r="BA23" s="31" t="n"/>
      <ns0:c r="BB23" s="31" t="n"/>
      <ns0:c r="BC23" s="31" t="n"/>
      <ns0:c r="BD23" s="31" t="n"/>
      <ns0:c r="BE23" s="31" t="n"/>
      <ns0:c r="BF23" s="31" t="n"/>
      <ns0:c r="BG23" s="31" t="n"/>
      <ns0:c r="BH23" s="31" t="n"/>
      <ns0:c r="BI23" s="31" t="n"/>
      <ns0:c r="BJ23" s="31" t="n"/>
      <ns0:c r="BK23" s="31" t="n"/>
    </ns0:row>
    <ns0:row r="24">
      <ns0:c r="A24" s="31" t="inlineStr">
        <ns0:is>
          <ns0:t>Сибтехнотранс</ns0:t>
        </ns0:is>
      </ns0:c>
      <ns0:c r="B24" s="31" t="b">
        <ns0:f>'Графики'!C39</ns0:f>
        <ns0:v>0</ns0:v>
      </ns0:c>
      <ns0:c r="C24" s="31" t="n"/>
      <ns0:c r="D24" s="31" t="str">
        <ns0:f>IF($B24=FALSE,"не выбрана",IF($G$1="","нет маршрута",INDEX('Сибтехнотранс'!D$1:D$2,$G$1)))</ns0:f>
        <ns0:v>не выбрана</ns0:v>
      </ns0:c>
      <ns0:c r="E24" s="31" t="str">
        <ns0:f>IF($B24=FALSE,"не выбрана",IF($G$1="","нет маршрута",INDEX('Сибтехнотранс'!E$1:E$2,$G$1)))</ns0:f>
        <ns0:v>не выбрана</ns0:v>
      </ns0:c>
      <ns0:c r="F24" s="31" t="str">
        <ns0:f>IF($B24=FALSE,"не выбрана",IF($G$1="","нет маршрута",INDEX('Сибтехнотранс'!F$1:F$2,$G$1)))</ns0:f>
        <ns0:v>не выбрана</ns0:v>
      </ns0:c>
      <ns0:c r="G24" s="31" t="str">
        <ns0:f>IF($B24=FALSE,"не выбрана",IF($G$1="","нет маршрута",INDEX('Сибтехнотранс'!G$1:G$2,$G$1)))</ns0:f>
        <ns0:v>не выбрана</ns0:v>
      </ns0:c>
      <ns0:c r="H24" s="31" t="str">
        <ns0:f>IF($B24=FALSE,"не выбрана",IF($G$1="","нет маршрута",INDEX('Сибтехнотранс'!H$1:H$2,$G$1)))</ns0:f>
        <ns0:v>не выбрана</ns0:v>
      </ns0:c>
      <ns0:c r="I24" s="31" t="str">
        <ns0:f>IF($B24=FALSE,"не выбрана",IF($G$1="","нет маршрута",INDEX('Сибтехнотранс'!I$1:I$2,$G$1)))</ns0:f>
        <ns0:v>не выбрана</ns0:v>
      </ns0:c>
      <ns0:c r="J24" s="31" t="str">
        <ns0:f>IF($B24=FALSE,"не выбрана",IF($G$1="","нет маршрута",INDEX('Сибтехнотранс'!J$1:J$2,$G$1)))</ns0:f>
        <ns0:v>не выбрана</ns0:v>
      </ns0:c>
      <ns0:c r="K24" s="31" t="str">
        <ns0:f>IF($B24=FALSE,"не выбрана",IF($G$1="","нет маршрута",INDEX('Сибтехнотранс'!K$1:K$2,$G$1)))</ns0:f>
        <ns0:v>не выбрана</ns0:v>
      </ns0:c>
      <ns0:c r="L24" s="31" t="str">
        <ns0:f>IF($B24=FALSE,"не выбрана",IF($G$1="","нет маршрута",INDEX('Сибтехнотранс'!L$1:L$2,$G$1)))</ns0:f>
        <ns0:v>не выбрана</ns0:v>
      </ns0:c>
      <ns0:c r="M24" s="31" t="str">
        <ns0:f>IF($B24=FALSE,"не выбрана",IF($G$1="","нет маршрута",INDEX('Сибтехнотранс'!M$1:M$2,$G$1)))</ns0:f>
        <ns0:v>не выбрана</ns0:v>
      </ns0:c>
      <ns0:c r="N24" s="31" t="str">
        <ns0:f>IF($B24=FALSE,"не выбрана",IF($G$1="","нет маршрута",INDEX('Сибтехнотранс'!N$1:N$2,$G$1)))</ns0:f>
        <ns0:v>не выбрана</ns0:v>
      </ns0:c>
      <ns0:c r="O24" s="31" t="str">
        <ns0:f>IF($B24=FALSE,"не выбрана",IF($G$1="","нет маршрута",INDEX('Сибтехнотранс'!O$1:O$2,$G$1)))</ns0:f>
        <ns0:v>не выбрана</ns0:v>
      </ns0:c>
      <ns0:c r="P24" s="31" t="str">
        <ns0:f>IF($B24=FALSE,"не выбрана",IF($G$1="","нет маршрута",INDEX('Сибтехнотранс'!P$1:P$2,$G$1)))</ns0:f>
        <ns0:v>не выбрана</ns0:v>
      </ns0:c>
      <ns0:c r="Q24" s="31" t="str">
        <ns0:f>IF($B24=FALSE,"не выбрана",IF($G$1="","нет маршрута",INDEX('Сибтехнотранс'!Q$1:Q$2,$G$1)))</ns0:f>
        <ns0:v>не выбрана</ns0:v>
      </ns0:c>
      <ns0:c r="R24" s="31" t="str">
        <ns0:f>IF($B24=FALSE,"не выбрана",IF($G$1="","нет маршрута",INDEX('Сибтехнотранс'!R$1:R$2,$G$1)))</ns0:f>
        <ns0:v>не выбрана</ns0:v>
      </ns0:c>
      <ns0:c r="S24" s="31" t="str">
        <ns0:f>IF($B24=FALSE,"не выбрана",IF($G$1="","нет маршрута",INDEX('Сибтехнотранс'!S$1:S$2,$G$1)))</ns0:f>
        <ns0:v>не выбрана</ns0:v>
      </ns0:c>
      <ns0:c r="T24" s="31" t="str">
        <ns0:f>IF($B24=FALSE,"не выбрана",IF($G$1="","нет маршрута",INDEX('Сибтехнотранс'!T$1:T$2,$G$1)))</ns0:f>
        <ns0:v>не выбрана</ns0:v>
      </ns0:c>
      <ns0:c r="U24" s="31" t="str">
        <ns0:f>IF($B24=FALSE,"не выбрана",IF($G$1="","нет маршрута",INDEX('Сибтехнотранс'!U$1:U$2,$G$1)))</ns0:f>
        <ns0:v>не выбрана</ns0:v>
      </ns0:c>
      <ns0:c r="V24" s="31" t="str">
        <ns0:f>IF($B24=FALSE,"не выбрана",IF($G$1="","нет маршрута",INDEX('Сибтехнотранс'!V$1:V$2,$G$1)))</ns0:f>
        <ns0:v>не выбрана</ns0:v>
      </ns0:c>
      <ns0:c r="W24" s="31" t="str">
        <ns0:f>IF($B24=FALSE,"не выбрана",IF($G$1="","нет маршрута",INDEX('Сибтехнотранс'!W$1:W$2,$G$1)))</ns0:f>
        <ns0:v>не выбрана</ns0:v>
      </ns0:c>
      <ns0:c r="X24" s="31" t="str">
        <ns0:f>IF($B24=FALSE,"не выбрана",IF($G$1="","нет маршрута",INDEX('Сибтехнотранс'!X$1:X$2,$G$1)))</ns0:f>
        <ns0:v>не выбрана</ns0:v>
      </ns0:c>
      <ns0:c r="Y24" s="31" t="str">
        <ns0:f>IF($B24=FALSE,"не выбрана",IF($G$1="","нет маршрута",INDEX('Сибтехнотранс'!Y$1:Y$2,$G$1)))</ns0:f>
        <ns0:v>не выбрана</ns0:v>
      </ns0:c>
      <ns0:c r="Z24" s="31" t="str">
        <ns0:f>IF($B24=FALSE,"не выбрана",IF($G$1="","нет маршрута",INDEX('Сибтехнотранс'!Z$1:Z$2,$G$1)))</ns0:f>
        <ns0:v>не выбрана</ns0:v>
      </ns0:c>
      <ns0:c r="AA24" s="31" t="str">
        <ns0:f>IF($B24=FALSE,"не выбрана",IF($G$1="","нет маршрута",INDEX('Сибтехнотранс'!AA$1:AA$2,$G$1)))</ns0:f>
        <ns0:v>не выбрана</ns0:v>
      </ns0:c>
      <ns0:c r="AB24" s="31" t="str">
        <ns0:f>IF($B24=FALSE,"не выбрана",IF($G$1="","нет маршрута",INDEX('Сибтехнотранс'!AB$1:AB$2,$G$1)))</ns0:f>
        <ns0:v>не выбрана</ns0:v>
      </ns0:c>
      <ns0:c r="AC24" s="31" t="str">
        <ns0:f>IF($B24=FALSE,"не выбрана",IF($G$1="","нет маршрута",INDEX('Сибтехнотранс'!AC$1:AC$2,$G$1)))</ns0:f>
        <ns0:v>не выбрана</ns0:v>
      </ns0:c>
      <ns0:c r="AD24" s="31" t="str">
        <ns0:f>IF($B24=FALSE,"не выбрана",IF($G$1="","нет маршрута",INDEX('Сибтехнотранс'!AD$1:AD$2,$G$1)))</ns0:f>
        <ns0:v>не выбрана</ns0:v>
      </ns0:c>
      <ns0:c r="AE24" s="31" t="str">
        <ns0:f>IF($B24=FALSE,"не выбрана",IF($G$1="","нет маршрута",INDEX('Сибтехнотранс'!AE$1:AE$2,$G$1)))</ns0:f>
        <ns0:v>не выбрана</ns0:v>
      </ns0:c>
      <ns0:c r="AF24" s="31" t="str">
        <ns0:f>IF($B24=FALSE,"не выбрана",IF($G$1="","нет маршрута",INDEX('Сибтехнотранс'!AF$1:AF$2,$G$1)))</ns0:f>
        <ns0:v>не выбрана</ns0:v>
      </ns0:c>
      <ns0:c r="AG24" s="31" t="n"/>
      <ns0:c r="AH24" s="31" t="n"/>
      <ns0:c r="AI24" s="31" t="n"/>
      <ns0:c r="AJ24" s="31" t="n"/>
      <ns0:c r="AK24" s="31" t="n"/>
      <ns0:c r="AL24" s="31" t="n"/>
      <ns0:c r="AM24" s="31" t="n"/>
      <ns0:c r="AN24" s="31" t="n"/>
      <ns0:c r="AO24" s="31" t="n"/>
      <ns0:c r="AP24" s="31" t="n"/>
      <ns0:c r="AQ24" s="31" t="n"/>
      <ns0:c r="AR24" s="31" t="n"/>
      <ns0:c r="AS24" s="31" t="n"/>
      <ns0:c r="AT24" s="31" t="n"/>
      <ns0:c r="AU24" s="31" t="n"/>
      <ns0:c r="AV24" s="31" t="n"/>
      <ns0:c r="AW24" s="31" t="n"/>
      <ns0:c r="AX24" s="31" t="n"/>
      <ns0:c r="AY24" s="31" t="n"/>
      <ns0:c r="AZ24" s="31" t="n"/>
      <ns0:c r="BA24" s="31" t="n"/>
      <ns0:c r="BB24" s="31" t="n"/>
      <ns0:c r="BC24" s="31" t="n"/>
      <ns0:c r="BD24" s="31" t="n"/>
      <ns0:c r="BE24" s="31" t="n"/>
      <ns0:c r="BF24" s="31" t="n"/>
      <ns0:c r="BG24" s="31" t="n"/>
      <ns0:c r="BH24" s="31" t="n"/>
      <ns0:c r="BI24" s="31" t="n"/>
      <ns0:c r="BJ24" s="31" t="n"/>
      <ns0:c r="BK24" s="31" t="n"/>
    </ns0:row>
    <ns0:row r="25">
      <ns0:c r="A25" s="31" t="inlineStr">
        <ns0:is>
          <ns0:t>ИмперияАвто</ns0:t>
        </ns0:is>
      </ns0:c>
      <ns0:c r="B25" s="31" t="b">
        <ns0:f>'Графики'!C40</ns0:f>
        <ns0:v>0</ns0:v>
      </ns0:c>
      <ns0:c r="C25" s="31" t="n"/>
      <ns0:c r="D25" s="31" t="str">
        <ns0:f>IF($B25=FALSE,"не выбрана",IF($G$1="","нет маршрута",INDEX('ИмперияАвто'!D$1:D$2,$G$1)))</ns0:f>
        <ns0:v>не выбрана</ns0:v>
      </ns0:c>
      <ns0:c r="E25" s="31" t="str">
        <ns0:f>IF($B25=FALSE,"не выбрана",IF($G$1="","нет маршрута",INDEX('ИмперияАвто'!E$1:E$2,$G$1)))</ns0:f>
        <ns0:v>не выбрана</ns0:v>
      </ns0:c>
      <ns0:c r="F25" s="31" t="str">
        <ns0:f>IF($B25=FALSE,"не выбрана",IF($G$1="","нет маршрута",INDEX('ИмперияАвто'!F$1:F$2,$G$1)))</ns0:f>
        <ns0:v>не выбрана</ns0:v>
      </ns0:c>
      <ns0:c r="G25" s="31" t="str">
        <ns0:f>IF($B25=FALSE,"не выбрана",IF($G$1="","нет маршрута",INDEX('ИмперияАвто'!G$1:G$2,$G$1)))</ns0:f>
        <ns0:v>не выбрана</ns0:v>
      </ns0:c>
      <ns0:c r="H25" s="31" t="str">
        <ns0:f>IF($B25=FALSE,"не выбрана",IF($G$1="","нет маршрута",INDEX('ИмперияАвто'!H$1:H$2,$G$1)))</ns0:f>
        <ns0:v>не выбрана</ns0:v>
      </ns0:c>
      <ns0:c r="I25" s="31" t="str">
        <ns0:f>IF($B25=FALSE,"не выбрана",IF($G$1="","нет маршрута",INDEX('ИмперияАвто'!I$1:I$2,$G$1)))</ns0:f>
        <ns0:v>не выбрана</ns0:v>
      </ns0:c>
      <ns0:c r="J25" s="31" t="str">
        <ns0:f>IF($B25=FALSE,"не выбрана",IF($G$1="","нет маршрута",INDEX('ИмперияАвто'!J$1:J$2,$G$1)))</ns0:f>
        <ns0:v>не выбрана</ns0:v>
      </ns0:c>
      <ns0:c r="K25" s="31" t="str">
        <ns0:f>IF($B25=FALSE,"не выбрана",IF($G$1="","нет маршрута",INDEX('ИмперияАвто'!K$1:K$2,$G$1)))</ns0:f>
        <ns0:v>не выбрана</ns0:v>
      </ns0:c>
      <ns0:c r="L25" s="31" t="str">
        <ns0:f>IF($B25=FALSE,"не выбрана",IF($G$1="","нет маршрута",INDEX('ИмперияАвто'!L$1:L$2,$G$1)))</ns0:f>
        <ns0:v>не выбрана</ns0:v>
      </ns0:c>
      <ns0:c r="M25" s="31" t="str">
        <ns0:f>IF($B25=FALSE,"не выбрана",IF($G$1="","нет маршрута",INDEX('ИмперияАвто'!M$1:M$2,$G$1)))</ns0:f>
        <ns0:v>не выбрана</ns0:v>
      </ns0:c>
      <ns0:c r="N25" s="31" t="str">
        <ns0:f>IF($B25=FALSE,"не выбрана",IF($G$1="","нет маршрута",INDEX('ИмперияАвто'!N$1:N$2,$G$1)))</ns0:f>
        <ns0:v>не выбрана</ns0:v>
      </ns0:c>
      <ns0:c r="O25" s="31" t="str">
        <ns0:f>IF($B25=FALSE,"не выбрана",IF($G$1="","нет маршрута",INDEX('ИмперияАвто'!O$1:O$2,$G$1)))</ns0:f>
        <ns0:v>не выбрана</ns0:v>
      </ns0:c>
      <ns0:c r="P25" s="31" t="str">
        <ns0:f>IF($B25=FALSE,"не выбрана",IF($G$1="","нет маршрута",INDEX('ИмперияАвто'!P$1:P$2,$G$1)))</ns0:f>
        <ns0:v>не выбрана</ns0:v>
      </ns0:c>
      <ns0:c r="Q25" s="31" t="str">
        <ns0:f>IF($B25=FALSE,"не выбрана",IF($G$1="","нет маршрута",INDEX('ИмперияАвто'!Q$1:Q$2,$G$1)))</ns0:f>
        <ns0:v>не выбрана</ns0:v>
      </ns0:c>
      <ns0:c r="R25" s="31" t="str">
        <ns0:f>IF($B25=FALSE,"не выбрана",IF($G$1="","нет маршрута",INDEX('ИмперияАвто'!R$1:R$2,$G$1)))</ns0:f>
        <ns0:v>не выбрана</ns0:v>
      </ns0:c>
      <ns0:c r="S25" s="31" t="str">
        <ns0:f>IF($B25=FALSE,"не выбрана",IF($G$1="","нет маршрута",INDEX('ИмперияАвто'!S$1:S$2,$G$1)))</ns0:f>
        <ns0:v>не выбрана</ns0:v>
      </ns0:c>
      <ns0:c r="T25" s="31" t="str">
        <ns0:f>IF($B25=FALSE,"не выбрана",IF($G$1="","нет маршрута",INDEX('ИмперияАвто'!T$1:T$2,$G$1)))</ns0:f>
        <ns0:v>не выбрана</ns0:v>
      </ns0:c>
      <ns0:c r="U25" s="31" t="str">
        <ns0:f>IF($B25=FALSE,"не выбрана",IF($G$1="","нет маршрута",INDEX('ИмперияАвто'!U$1:U$2,$G$1)))</ns0:f>
        <ns0:v>не выбрана</ns0:v>
      </ns0:c>
      <ns0:c r="V25" s="31" t="str">
        <ns0:f>IF($B25=FALSE,"не выбрана",IF($G$1="","нет маршрута",INDEX('ИмперияАвто'!V$1:V$2,$G$1)))</ns0:f>
        <ns0:v>не выбрана</ns0:v>
      </ns0:c>
      <ns0:c r="W25" s="31" t="str">
        <ns0:f>IF($B25=FALSE,"не выбрана",IF($G$1="","нет маршрута",INDEX('ИмперияАвто'!W$1:W$2,$G$1)))</ns0:f>
        <ns0:v>не выбрана</ns0:v>
      </ns0:c>
      <ns0:c r="X25" s="31" t="str">
        <ns0:f>IF($B25=FALSE,"не выбрана",IF($G$1="","нет маршрута",INDEX('ИмперияАвто'!X$1:X$2,$G$1)))</ns0:f>
        <ns0:v>не выбрана</ns0:v>
      </ns0:c>
      <ns0:c r="Y25" s="31" t="str">
        <ns0:f>IF($B25=FALSE,"не выбрана",IF($G$1="","нет маршрута",INDEX('ИмперияАвто'!Y$1:Y$2,$G$1)))</ns0:f>
        <ns0:v>не выбрана</ns0:v>
      </ns0:c>
      <ns0:c r="Z25" s="31" t="str">
        <ns0:f>IF($B25=FALSE,"не выбрана",IF($G$1="","нет маршрута",INDEX('ИмперияАвто'!Z$1:Z$2,$G$1)))</ns0:f>
        <ns0:v>не выбрана</ns0:v>
      </ns0:c>
      <ns0:c r="AA25" s="31" t="str">
        <ns0:f>IF($B25=FALSE,"не выбрана",IF($G$1="","нет маршрута",INDEX('ИмперияАвто'!AA$1:AA$2,$G$1)))</ns0:f>
        <ns0:v>не выбрана</ns0:v>
      </ns0:c>
      <ns0:c r="AB25" s="31" t="str">
        <ns0:f>IF($B25=FALSE,"не выбрана",IF($G$1="","нет маршрута",INDEX('ИмперияАвто'!AB$1:AB$2,$G$1)))</ns0:f>
        <ns0:v>не выбрана</ns0:v>
      </ns0:c>
      <ns0:c r="AC25" s="31" t="str">
        <ns0:f>IF($B25=FALSE,"не выбрана",IF($G$1="","нет маршрута",INDEX('ИмперияАвто'!AC$1:AC$2,$G$1)))</ns0:f>
        <ns0:v>не выбрана</ns0:v>
      </ns0:c>
      <ns0:c r="AD25" s="31" t="str">
        <ns0:f>IF($B25=FALSE,"не выбрана",IF($G$1="","нет маршрута",INDEX('ИмперияАвто'!AD$1:AD$2,$G$1)))</ns0:f>
        <ns0:v>не выбрана</ns0:v>
      </ns0:c>
      <ns0:c r="AE25" s="31" t="str">
        <ns0:f>IF($B25=FALSE,"не выбрана",IF($G$1="","нет маршрута",INDEX('ИмперияАвто'!AE$1:AE$2,$G$1)))</ns0:f>
        <ns0:v>не выбрана</ns0:v>
      </ns0:c>
      <ns0:c r="AF25" s="31" t="str">
        <ns0:f>IF($B25=FALSE,"не выбрана",IF($G$1="","нет маршрута",INDEX('ИмперияАвто'!AF$1:AF$2,$G$1)))</ns0:f>
        <ns0:v>не выбрана</ns0:v>
      </ns0:c>
      <ns0:c r="AG25" s="31" t="n"/>
      <ns0:c r="AH25" s="31" t="n"/>
      <ns0:c r="AI25" s="31" t="n"/>
      <ns0:c r="AJ25" s="31" t="n"/>
      <ns0:c r="AK25" s="31" t="n"/>
      <ns0:c r="AL25" s="31" t="n"/>
      <ns0:c r="AM25" s="31" t="n"/>
      <ns0:c r="AN25" s="31" t="n"/>
      <ns0:c r="AO25" s="31" t="n"/>
      <ns0:c r="AP25" s="31" t="n"/>
      <ns0:c r="AQ25" s="31" t="n"/>
      <ns0:c r="AR25" s="31" t="n"/>
      <ns0:c r="AS25" s="31" t="n"/>
      <ns0:c r="AT25" s="31" t="n"/>
      <ns0:c r="AU25" s="31" t="n"/>
      <ns0:c r="AV25" s="31" t="n"/>
      <ns0:c r="AW25" s="31" t="n"/>
      <ns0:c r="AX25" s="31" t="n"/>
      <ns0:c r="AY25" s="31" t="n"/>
      <ns0:c r="AZ25" s="31" t="n"/>
      <ns0:c r="BA25" s="31" t="n"/>
      <ns0:c r="BB25" s="31" t="n"/>
      <ns0:c r="BC25" s="31" t="n"/>
      <ns0:c r="BD25" s="31" t="n"/>
      <ns0:c r="BE25" s="31" t="n"/>
      <ns0:c r="BF25" s="31" t="n"/>
      <ns0:c r="BG25" s="31" t="n"/>
      <ns0:c r="BH25" s="31" t="n"/>
      <ns0:c r="BI25" s="31" t="n"/>
      <ns0:c r="BJ25" s="31" t="n"/>
      <ns0:c r="BK25" s="31" t="n"/>
    </ns0:row>
    <ns0:row r="26">
      <ns0:c r="A26" s="31" t="inlineStr">
        <ns0:is>
          <ns0:t>Магистраль</ns0:t>
        </ns0:is>
      </ns0:c>
      <ns0:c r="B26" s="31" t="b">
        <ns0:f>'Графики'!C41</ns0:f>
        <ns0:v>0</ns0:v>
      </ns0:c>
      <ns0:c r="C26" s="31" t="n"/>
      <ns0:c r="D26" s="31" t="str">
        <ns0:f>IF($B26=FALSE,"не выбрана",IF($G$1="","нет маршрута",INDEX('Магистраль'!D$1:D$2,$G$1)))</ns0:f>
        <ns0:v>не выбрана</ns0:v>
      </ns0:c>
      <ns0:c r="E26" s="31" t="str">
        <ns0:f>IF($B26=FALSE,"не выбрана",IF($G$1="","нет маршрута",INDEX('Магистраль'!E$1:E$2,$G$1)))</ns0:f>
        <ns0:v>не выбрана</ns0:v>
      </ns0:c>
      <ns0:c r="F26" s="31" t="str">
        <ns0:f>IF($B26=FALSE,"не выбрана",IF($G$1="","нет маршрута",INDEX('Магистраль'!F$1:F$2,$G$1)))</ns0:f>
        <ns0:v>не выбрана</ns0:v>
      </ns0:c>
      <ns0:c r="G26" s="31" t="str">
        <ns0:f>IF($B26=FALSE,"не выбрана",IF($G$1="","нет маршрута",INDEX('Магистраль'!G$1:G$2,$G$1)))</ns0:f>
        <ns0:v>не выбрана</ns0:v>
      </ns0:c>
      <ns0:c r="H26" s="31" t="str">
        <ns0:f>IF($B26=FALSE,"не выбрана",IF($G$1="","нет маршрута",INDEX('Магистраль'!H$1:H$2,$G$1)))</ns0:f>
        <ns0:v>не выбрана</ns0:v>
      </ns0:c>
      <ns0:c r="I26" s="31" t="str">
        <ns0:f>IF($B26=FALSE,"не выбрана",IF($G$1="","нет маршрута",INDEX('Магистраль'!I$1:I$2,$G$1)))</ns0:f>
        <ns0:v>не выбрана</ns0:v>
      </ns0:c>
      <ns0:c r="J26" s="31" t="str">
        <ns0:f>IF($B26=FALSE,"не выбрана",IF($G$1="","нет маршрута",INDEX('Магистраль'!J$1:J$2,$G$1)))</ns0:f>
        <ns0:v>не выбрана</ns0:v>
      </ns0:c>
      <ns0:c r="K26" s="31" t="str">
        <ns0:f>IF($B26=FALSE,"не выбрана",IF($G$1="","нет маршрута",INDEX('Магистраль'!K$1:K$2,$G$1)))</ns0:f>
        <ns0:v>не выбрана</ns0:v>
      </ns0:c>
      <ns0:c r="L26" s="31" t="str">
        <ns0:f>IF($B26=FALSE,"не выбрана",IF($G$1="","нет маршрута",INDEX('Магистраль'!L$1:L$2,$G$1)))</ns0:f>
        <ns0:v>не выбрана</ns0:v>
      </ns0:c>
      <ns0:c r="M26" s="31" t="str">
        <ns0:f>IF($B26=FALSE,"не выбрана",IF($G$1="","нет маршрута",INDEX('Магистраль'!M$1:M$2,$G$1)))</ns0:f>
        <ns0:v>не выбрана</ns0:v>
      </ns0:c>
      <ns0:c r="N26" s="31" t="str">
        <ns0:f>IF($B26=FALSE,"не выбрана",IF($G$1="","нет маршрута",INDEX('Магистраль'!N$1:N$2,$G$1)))</ns0:f>
        <ns0:v>не выбрана</ns0:v>
      </ns0:c>
      <ns0:c r="O26" s="31" t="str">
        <ns0:f>IF($B26=FALSE,"не выбрана",IF($G$1="","нет маршрута",INDEX('Магистраль'!O$1:O$2,$G$1)))</ns0:f>
        <ns0:v>не выбрана</ns0:v>
      </ns0:c>
      <ns0:c r="P26" s="31" t="str">
        <ns0:f>IF($B26=FALSE,"не выбрана",IF($G$1="","нет маршрута",INDEX('Магистраль'!P$1:P$2,$G$1)))</ns0:f>
        <ns0:v>не выбрана</ns0:v>
      </ns0:c>
      <ns0:c r="Q26" s="31" t="str">
        <ns0:f>IF($B26=FALSE,"не выбрана",IF($G$1="","нет маршрута",INDEX('Магистраль'!Q$1:Q$2,$G$1)))</ns0:f>
        <ns0:v>не выбрана</ns0:v>
      </ns0:c>
      <ns0:c r="R26" s="31" t="str">
        <ns0:f>IF($B26=FALSE,"не выбрана",IF($G$1="","нет маршрута",INDEX('Магистраль'!R$1:R$2,$G$1)))</ns0:f>
        <ns0:v>не выбрана</ns0:v>
      </ns0:c>
      <ns0:c r="S26" s="31" t="str">
        <ns0:f>IF($B26=FALSE,"не выбрана",IF($G$1="","нет маршрута",INDEX('Магистраль'!S$1:S$2,$G$1)))</ns0:f>
        <ns0:v>не выбрана</ns0:v>
      </ns0:c>
      <ns0:c r="T26" s="31" t="str">
        <ns0:f>IF($B26=FALSE,"не выбрана",IF($G$1="","нет маршрута",INDEX('Магистраль'!T$1:T$2,$G$1)))</ns0:f>
        <ns0:v>не выбрана</ns0:v>
      </ns0:c>
      <ns0:c r="U26" s="31" t="str">
        <ns0:f>IF($B26=FALSE,"не выбрана",IF($G$1="","нет маршрута",INDEX('Магистраль'!U$1:U$2,$G$1)))</ns0:f>
        <ns0:v>не выбрана</ns0:v>
      </ns0:c>
      <ns0:c r="V26" s="31" t="str">
        <ns0:f>IF($B26=FALSE,"не выбрана",IF($G$1="","нет маршрута",INDEX('Магистраль'!V$1:V$2,$G$1)))</ns0:f>
        <ns0:v>не выбрана</ns0:v>
      </ns0:c>
      <ns0:c r="W26" s="31" t="str">
        <ns0:f>IF($B26=FALSE,"не выбрана",IF($G$1="","нет маршрута",INDEX('Магистраль'!W$1:W$2,$G$1)))</ns0:f>
        <ns0:v>не выбрана</ns0:v>
      </ns0:c>
      <ns0:c r="X26" s="31" t="str">
        <ns0:f>IF($B26=FALSE,"не выбрана",IF($G$1="","нет маршрута",INDEX('Магистраль'!X$1:X$2,$G$1)))</ns0:f>
        <ns0:v>не выбрана</ns0:v>
      </ns0:c>
      <ns0:c r="Y26" s="31" t="str">
        <ns0:f>IF($B26=FALSE,"не выбрана",IF($G$1="","нет маршрута",INDEX('Магистраль'!Y$1:Y$2,$G$1)))</ns0:f>
        <ns0:v>не выбрана</ns0:v>
      </ns0:c>
      <ns0:c r="Z26" s="31" t="str">
        <ns0:f>IF($B26=FALSE,"не выбрана",IF($G$1="","нет маршрута",INDEX('Магистраль'!Z$1:Z$2,$G$1)))</ns0:f>
        <ns0:v>не выбрана</ns0:v>
      </ns0:c>
      <ns0:c r="AA26" s="31" t="str">
        <ns0:f>IF($B26=FALSE,"не выбрана",IF($G$1="","нет маршрута",INDEX('Магистраль'!AA$1:AA$2,$G$1)))</ns0:f>
        <ns0:v>не выбрана</ns0:v>
      </ns0:c>
      <ns0:c r="AB26" s="31" t="str">
        <ns0:f>IF($B26=FALSE,"не выбрана",IF($G$1="","нет маршрута",INDEX('Магистраль'!AB$1:AB$2,$G$1)))</ns0:f>
        <ns0:v>не выбрана</ns0:v>
      </ns0:c>
      <ns0:c r="AC26" s="31" t="str">
        <ns0:f>IF($B26=FALSE,"не выбрана",IF($G$1="","нет маршрута",INDEX('Магистраль'!AC$1:AC$2,$G$1)))</ns0:f>
        <ns0:v>не выбрана</ns0:v>
      </ns0:c>
      <ns0:c r="AD26" s="31" t="str">
        <ns0:f>IF($B26=FALSE,"не выбрана",IF($G$1="","нет маршрута",INDEX('Магистраль'!AD$1:AD$2,$G$1)))</ns0:f>
        <ns0:v>не выбрана</ns0:v>
      </ns0:c>
      <ns0:c r="AE26" s="31" t="str">
        <ns0:f>IF($B26=FALSE,"не выбрана",IF($G$1="","нет маршрута",INDEX('Магистраль'!AE$1:AE$2,$G$1)))</ns0:f>
        <ns0:v>не выбрана</ns0:v>
      </ns0:c>
      <ns0:c r="AF26" s="31" t="str">
        <ns0:f>IF($B26=FALSE,"не выбрана",IF($G$1="","нет маршрута",INDEX('Магистраль'!AF$1:AF$2,$G$1)))</ns0:f>
        <ns0:v>не выбрана</ns0:v>
      </ns0:c>
      <ns0:c r="AG26" s="31" t="n"/>
      <ns0:c r="AH26" s="31" t="n"/>
      <ns0:c r="AI26" s="31" t="n"/>
      <ns0:c r="AJ26" s="31" t="n"/>
      <ns0:c r="AK26" s="31" t="n"/>
      <ns0:c r="AL26" s="31" t="n"/>
      <ns0:c r="AM26" s="31" t="n"/>
      <ns0:c r="AN26" s="31" t="n"/>
      <ns0:c r="AO26" s="31" t="n"/>
      <ns0:c r="AP26" s="31" t="n"/>
      <ns0:c r="AQ26" s="31" t="n"/>
      <ns0:c r="AR26" s="31" t="n"/>
      <ns0:c r="AS26" s="31" t="n"/>
      <ns0:c r="AT26" s="31" t="n"/>
      <ns0:c r="AU26" s="31" t="n"/>
      <ns0:c r="AV26" s="31" t="n"/>
      <ns0:c r="AW26" s="31" t="n"/>
      <ns0:c r="AX26" s="31" t="n"/>
      <ns0:c r="AY26" s="31" t="n"/>
      <ns0:c r="AZ26" s="31" t="n"/>
      <ns0:c r="BA26" s="31" t="n"/>
      <ns0:c r="BB26" s="31" t="n"/>
      <ns0:c r="BC26" s="31" t="n"/>
      <ns0:c r="BD26" s="31" t="n"/>
      <ns0:c r="BE26" s="31" t="n"/>
      <ns0:c r="BF26" s="31" t="n"/>
      <ns0:c r="BG26" s="31" t="n"/>
      <ns0:c r="BH26" s="31" t="n"/>
      <ns0:c r="BI26" s="31" t="n"/>
      <ns0:c r="BJ26" s="31" t="n"/>
      <ns0:c r="BK26" s="31" t="n"/>
    </ns0:row>
    <ns0:row r="27">
      <ns0:c r="A27" s="31" t="inlineStr">
        <ns0:is>
          <ns0:t>Транзит</ns0:t>
        </ns0:is>
      </ns0:c>
      <ns0:c r="B27" s="31" t="b">
        <ns0:f>'Графики'!C42</ns0:f>
        <ns0:v>0</ns0:v>
      </ns0:c>
      <ns0:c r="C27" s="31" t="n"/>
      <ns0:c r="D27" s="31" t="str">
        <ns0:f>IF($B27=FALSE,"не выбрана",IF($G$1="","нет маршрута",INDEX('Транзит'!D$1:D$2,$G$1)))</ns0:f>
        <ns0:v>не выбрана</ns0:v>
      </ns0:c>
      <ns0:c r="E27" s="31" t="str">
        <ns0:f>IF($B27=FALSE,"не выбрана",IF($G$1="","нет маршрута",INDEX('Транзит'!E$1:E$2,$G$1)))</ns0:f>
        <ns0:v>не выбрана</ns0:v>
      </ns0:c>
      <ns0:c r="F27" s="31" t="str">
        <ns0:f>IF($B27=FALSE,"не выбрана",IF($G$1="","нет маршрута",INDEX('Транзит'!F$1:F$2,$G$1)))</ns0:f>
        <ns0:v>не выбрана</ns0:v>
      </ns0:c>
      <ns0:c r="G27" s="31" t="str">
        <ns0:f>IF($B27=FALSE,"не выбрана",IF($G$1="","нет маршрута",INDEX('Транзит'!G$1:G$2,$G$1)))</ns0:f>
        <ns0:v>не выбрана</ns0:v>
      </ns0:c>
      <ns0:c r="H27" s="31" t="str">
        <ns0:f>IF($B27=FALSE,"не выбрана",IF($G$1="","нет маршрута",INDEX('Транзит'!H$1:H$2,$G$1)))</ns0:f>
        <ns0:v>не выбрана</ns0:v>
      </ns0:c>
      <ns0:c r="I27" s="31" t="str">
        <ns0:f>IF($B27=FALSE,"не выбрана",IF($G$1="","нет маршрута",INDEX('Транзит'!I$1:I$2,$G$1)))</ns0:f>
        <ns0:v>не выбрана</ns0:v>
      </ns0:c>
      <ns0:c r="J27" s="31" t="str">
        <ns0:f>IF($B27=FALSE,"не выбрана",IF($G$1="","нет маршрута",INDEX('Транзит'!J$1:J$2,$G$1)))</ns0:f>
        <ns0:v>не выбрана</ns0:v>
      </ns0:c>
      <ns0:c r="K27" s="31" t="str">
        <ns0:f>IF($B27=FALSE,"не выбрана",IF($G$1="","нет маршрута",INDEX('Транзит'!K$1:K$2,$G$1)))</ns0:f>
        <ns0:v>не выбрана</ns0:v>
      </ns0:c>
      <ns0:c r="L27" s="31" t="str">
        <ns0:f>IF($B27=FALSE,"не выбрана",IF($G$1="","нет маршрута",INDEX('Транзит'!L$1:L$2,$G$1)))</ns0:f>
        <ns0:v>не выбрана</ns0:v>
      </ns0:c>
      <ns0:c r="M27" s="31" t="str">
        <ns0:f>IF($B27=FALSE,"не выбрана",IF($G$1="","нет маршрута",INDEX('Транзит'!M$1:M$2,$G$1)))</ns0:f>
        <ns0:v>не выбрана</ns0:v>
      </ns0:c>
      <ns0:c r="N27" s="31" t="str">
        <ns0:f>IF($B27=FALSE,"не выбрана",IF($G$1="","нет маршрута",INDEX('Транзит'!N$1:N$2,$G$1)))</ns0:f>
        <ns0:v>не выбрана</ns0:v>
      </ns0:c>
      <ns0:c r="O27" s="31" t="str">
        <ns0:f>IF($B27=FALSE,"не выбрана",IF($G$1="","нет маршрута",INDEX('Транзит'!O$1:O$2,$G$1)))</ns0:f>
        <ns0:v>не выбрана</ns0:v>
      </ns0:c>
      <ns0:c r="P27" s="31" t="str">
        <ns0:f>IF($B27=FALSE,"не выбрана",IF($G$1="","нет маршрута",INDEX('Транзит'!P$1:P$2,$G$1)))</ns0:f>
        <ns0:v>не выбрана</ns0:v>
      </ns0:c>
      <ns0:c r="Q27" s="31" t="str">
        <ns0:f>IF($B27=FALSE,"не выбрана",IF($G$1="","нет маршрута",INDEX('Транзит'!Q$1:Q$2,$G$1)))</ns0:f>
        <ns0:v>не выбрана</ns0:v>
      </ns0:c>
      <ns0:c r="R27" s="31" t="str">
        <ns0:f>IF($B27=FALSE,"не выбрана",IF($G$1="","нет маршрута",INDEX('Транзит'!R$1:R$2,$G$1)))</ns0:f>
        <ns0:v>не выбрана</ns0:v>
      </ns0:c>
      <ns0:c r="S27" s="31" t="str">
        <ns0:f>IF($B27=FALSE,"не выбрана",IF($G$1="","нет маршрута",INDEX('Транзит'!S$1:S$2,$G$1)))</ns0:f>
        <ns0:v>не выбрана</ns0:v>
      </ns0:c>
      <ns0:c r="T27" s="31" t="str">
        <ns0:f>IF($B27=FALSE,"не выбрана",IF($G$1="","нет маршрута",INDEX('Транзит'!T$1:T$2,$G$1)))</ns0:f>
        <ns0:v>не выбрана</ns0:v>
      </ns0:c>
      <ns0:c r="U27" s="31" t="str">
        <ns0:f>IF($B27=FALSE,"не выбрана",IF($G$1="","нет маршрута",INDEX('Транзит'!U$1:U$2,$G$1)))</ns0:f>
        <ns0:v>не выбрана</ns0:v>
      </ns0:c>
      <ns0:c r="V27" s="31" t="str">
        <ns0:f>IF($B27=FALSE,"не выбрана",IF($G$1="","нет маршрута",INDEX('Транзит'!V$1:V$2,$G$1)))</ns0:f>
        <ns0:v>не выбрана</ns0:v>
      </ns0:c>
      <ns0:c r="W27" s="31" t="str">
        <ns0:f>IF($B27=FALSE,"не выбрана",IF($G$1="","нет маршрута",INDEX('Транзит'!W$1:W$2,$G$1)))</ns0:f>
        <ns0:v>не выбрана</ns0:v>
      </ns0:c>
      <ns0:c r="X27" s="31" t="str">
        <ns0:f>IF($B27=FALSE,"не выбрана",IF($G$1="","нет маршрута",INDEX('Транзит'!X$1:X$2,$G$1)))</ns0:f>
        <ns0:v>не выбрана</ns0:v>
      </ns0:c>
      <ns0:c r="Y27" s="31" t="str">
        <ns0:f>IF($B27=FALSE,"не выбрана",IF($G$1="","нет маршрута",INDEX('Транзит'!Y$1:Y$2,$G$1)))</ns0:f>
        <ns0:v>не выбрана</ns0:v>
      </ns0:c>
      <ns0:c r="Z27" s="31" t="str">
        <ns0:f>IF($B27=FALSE,"не выбрана",IF($G$1="","нет маршрута",INDEX('Транзит'!Z$1:Z$2,$G$1)))</ns0:f>
        <ns0:v>не выбрана</ns0:v>
      </ns0:c>
      <ns0:c r="AA27" s="31" t="str">
        <ns0:f>IF($B27=FALSE,"не выбрана",IF($G$1="","нет маршрута",INDEX('Транзит'!AA$1:AA$2,$G$1)))</ns0:f>
        <ns0:v>не выбрана</ns0:v>
      </ns0:c>
      <ns0:c r="AB27" s="31" t="str">
        <ns0:f>IF($B27=FALSE,"не выбрана",IF($G$1="","нет маршрута",INDEX('Транзит'!AB$1:AB$2,$G$1)))</ns0:f>
        <ns0:v>не выбрана</ns0:v>
      </ns0:c>
      <ns0:c r="AC27" s="31" t="str">
        <ns0:f>IF($B27=FALSE,"не выбрана",IF($G$1="","нет маршрута",INDEX('Транзит'!AC$1:AC$2,$G$1)))</ns0:f>
        <ns0:v>не выбрана</ns0:v>
      </ns0:c>
      <ns0:c r="AD27" s="31" t="str">
        <ns0:f>IF($B27=FALSE,"не выбрана",IF($G$1="","нет маршрута",INDEX('Транзит'!AD$1:AD$2,$G$1)))</ns0:f>
        <ns0:v>не выбрана</ns0:v>
      </ns0:c>
      <ns0:c r="AE27" s="31" t="str">
        <ns0:f>IF($B27=FALSE,"не выбрана",IF($G$1="","нет маршрута",INDEX('Транзит'!AE$1:AE$2,$G$1)))</ns0:f>
        <ns0:v>не выбрана</ns0:v>
      </ns0:c>
      <ns0:c r="AF27" s="31" t="str">
        <ns0:f>IF($B27=FALSE,"не выбрана",IF($G$1="","нет маршрута",INDEX('Транзит'!AF$1:AF$2,$G$1)))</ns0:f>
        <ns0:v>не выбрана</ns0:v>
      </ns0:c>
      <ns0:c r="AG27" s="31" t="n"/>
      <ns0:c r="AH27" s="31" t="n"/>
      <ns0:c r="AI27" s="31" t="n"/>
      <ns0:c r="AJ27" s="31" t="n"/>
      <ns0:c r="AK27" s="31" t="n"/>
      <ns0:c r="AL27" s="31" t="n"/>
      <ns0:c r="AM27" s="31" t="n"/>
      <ns0:c r="AN27" s="31" t="n"/>
      <ns0:c r="AO27" s="31" t="n"/>
      <ns0:c r="AP27" s="31" t="n"/>
      <ns0:c r="AQ27" s="31" t="n"/>
      <ns0:c r="AR27" s="31" t="n"/>
      <ns0:c r="AS27" s="31" t="n"/>
      <ns0:c r="AT27" s="31" t="n"/>
      <ns0:c r="AU27" s="31" t="n"/>
      <ns0:c r="AV27" s="31" t="n"/>
      <ns0:c r="AW27" s="31" t="n"/>
      <ns0:c r="AX27" s="31" t="n"/>
      <ns0:c r="AY27" s="31" t="n"/>
      <ns0:c r="AZ27" s="31" t="n"/>
      <ns0:c r="BA27" s="31" t="n"/>
      <ns0:c r="BB27" s="31" t="n"/>
      <ns0:c r="BC27" s="31" t="n"/>
      <ns0:c r="BD27" s="31" t="n"/>
      <ns0:c r="BE27" s="31" t="n"/>
      <ns0:c r="BF27" s="31" t="n"/>
      <ns0:c r="BG27" s="31" t="n"/>
      <ns0:c r="BH27" s="31" t="n"/>
      <ns0:c r="BI27" s="31" t="n"/>
      <ns0:c r="BJ27" s="31" t="n"/>
      <ns0:c r="BK27" s="31" t="n"/>
    </ns0:row>
    <ns0:row r="28">
      <ns0:c r="A28" s="31" t="inlineStr">
        <ns0:is>
          <ns0:t>АРТК</ns0:t>
        </ns0:is>
      </ns0:c>
      <ns0:c r="B28" s="31" t="b">
        <ns0:f>'Графики'!C43</ns0:f>
        <ns0:v>0</ns0:v>
      </ns0:c>
      <ns0:c r="C28" s="31" t="n"/>
      <ns0:c r="D28" s="31" t="str">
        <ns0:f>IF($B28=FALSE,"не выбрана",IF($G$1="","нет маршрута",INDEX('АРТК'!D$1:D$2,$G$1)))</ns0:f>
        <ns0:v>не выбрана</ns0:v>
      </ns0:c>
      <ns0:c r="E28" s="31" t="str">
        <ns0:f>IF($B28=FALSE,"не выбрана",IF($G$1="","нет маршрута",INDEX('АРТК'!E$1:E$2,$G$1)))</ns0:f>
        <ns0:v>не выбрана</ns0:v>
      </ns0:c>
      <ns0:c r="F28" s="31" t="str">
        <ns0:f>IF($B28=FALSE,"не выбрана",IF($G$1="","нет маршрута",INDEX('АРТК'!F$1:F$2,$G$1)))</ns0:f>
        <ns0:v>не выбрана</ns0:v>
      </ns0:c>
      <ns0:c r="G28" s="31" t="str">
        <ns0:f>IF($B28=FALSE,"не выбрана",IF($G$1="","нет маршрута",INDEX('АРТК'!G$1:G$2,$G$1)))</ns0:f>
        <ns0:v>не выбрана</ns0:v>
      </ns0:c>
      <ns0:c r="H28" s="31" t="str">
        <ns0:f>IF($B28=FALSE,"не выбрана",IF($G$1="","нет маршрута",INDEX('АРТК'!H$1:H$2,$G$1)))</ns0:f>
        <ns0:v>не выбрана</ns0:v>
      </ns0:c>
      <ns0:c r="I28" s="31" t="str">
        <ns0:f>IF($B28=FALSE,"не выбрана",IF($G$1="","нет маршрута",INDEX('АРТК'!I$1:I$2,$G$1)))</ns0:f>
        <ns0:v>не выбрана</ns0:v>
      </ns0:c>
      <ns0:c r="J28" s="31" t="str">
        <ns0:f>IF($B28=FALSE,"не выбрана",IF($G$1="","нет маршрута",INDEX('АРТК'!J$1:J$2,$G$1)))</ns0:f>
        <ns0:v>не выбрана</ns0:v>
      </ns0:c>
      <ns0:c r="K28" s="31" t="str">
        <ns0:f>IF($B28=FALSE,"не выбрана",IF($G$1="","нет маршрута",INDEX('АРТК'!K$1:K$2,$G$1)))</ns0:f>
        <ns0:v>не выбрана</ns0:v>
      </ns0:c>
      <ns0:c r="L28" s="31" t="str">
        <ns0:f>IF($B28=FALSE,"не выбрана",IF($G$1="","нет маршрута",INDEX('АРТК'!L$1:L$2,$G$1)))</ns0:f>
        <ns0:v>не выбрана</ns0:v>
      </ns0:c>
      <ns0:c r="M28" s="31" t="str">
        <ns0:f>IF($B28=FALSE,"не выбрана",IF($G$1="","нет маршрута",INDEX('АРТК'!M$1:M$2,$G$1)))</ns0:f>
        <ns0:v>не выбрана</ns0:v>
      </ns0:c>
      <ns0:c r="N28" s="31" t="str">
        <ns0:f>IF($B28=FALSE,"не выбрана",IF($G$1="","нет маршрута",INDEX('АРТК'!N$1:N$2,$G$1)))</ns0:f>
        <ns0:v>не выбрана</ns0:v>
      </ns0:c>
      <ns0:c r="O28" s="31" t="str">
        <ns0:f>IF($B28=FALSE,"не выбрана",IF($G$1="","нет маршрута",INDEX('АРТК'!O$1:O$2,$G$1)))</ns0:f>
        <ns0:v>не выбрана</ns0:v>
      </ns0:c>
      <ns0:c r="P28" s="31" t="str">
        <ns0:f>IF($B28=FALSE,"не выбрана",IF($G$1="","нет маршрута",INDEX('АРТК'!P$1:P$2,$G$1)))</ns0:f>
        <ns0:v>не выбрана</ns0:v>
      </ns0:c>
      <ns0:c r="Q28" s="31" t="str">
        <ns0:f>IF($B28=FALSE,"не выбрана",IF($G$1="","нет маршрута",INDEX('АРТК'!Q$1:Q$2,$G$1)))</ns0:f>
        <ns0:v>не выбрана</ns0:v>
      </ns0:c>
      <ns0:c r="R28" s="31" t="str">
        <ns0:f>IF($B28=FALSE,"не выбрана",IF($G$1="","нет маршрута",INDEX('АРТК'!R$1:R$2,$G$1)))</ns0:f>
        <ns0:v>не выбрана</ns0:v>
      </ns0:c>
      <ns0:c r="S28" s="31" t="str">
        <ns0:f>IF($B28=FALSE,"не выбрана",IF($G$1="","нет маршрута",INDEX('АРТК'!S$1:S$2,$G$1)))</ns0:f>
        <ns0:v>не выбрана</ns0:v>
      </ns0:c>
      <ns0:c r="T28" s="31" t="str">
        <ns0:f>IF($B28=FALSE,"не выбрана",IF($G$1="","нет маршрута",INDEX('АРТК'!T$1:T$2,$G$1)))</ns0:f>
        <ns0:v>не выбрана</ns0:v>
      </ns0:c>
      <ns0:c r="U28" s="31" t="str">
        <ns0:f>IF($B28=FALSE,"не выбрана",IF($G$1="","нет маршрута",INDEX('АРТК'!U$1:U$2,$G$1)))</ns0:f>
        <ns0:v>не выбрана</ns0:v>
      </ns0:c>
      <ns0:c r="V28" s="31" t="str">
        <ns0:f>IF($B28=FALSE,"не выбрана",IF($G$1="","нет маршрута",INDEX('АРТК'!V$1:V$2,$G$1)))</ns0:f>
        <ns0:v>не выбрана</ns0:v>
      </ns0:c>
      <ns0:c r="W28" s="31" t="str">
        <ns0:f>IF($B28=FALSE,"не выбрана",IF($G$1="","нет маршрута",INDEX('АРТК'!W$1:W$2,$G$1)))</ns0:f>
        <ns0:v>не выбрана</ns0:v>
      </ns0:c>
      <ns0:c r="X28" s="31" t="str">
        <ns0:f>IF($B28=FALSE,"не выбрана",IF($G$1="","нет маршрута",INDEX('АРТК'!X$1:X$2,$G$1)))</ns0:f>
        <ns0:v>не выбрана</ns0:v>
      </ns0:c>
      <ns0:c r="Y28" s="31" t="str">
        <ns0:f>IF($B28=FALSE,"не выбрана",IF($G$1="","нет маршрута",INDEX('АРТК'!Y$1:Y$2,$G$1)))</ns0:f>
        <ns0:v>не выбрана</ns0:v>
      </ns0:c>
      <ns0:c r="Z28" s="31" t="str">
        <ns0:f>IF($B28=FALSE,"не выбрана",IF($G$1="","нет маршрута",INDEX('АРТК'!Z$1:Z$2,$G$1)))</ns0:f>
        <ns0:v>не выбрана</ns0:v>
      </ns0:c>
      <ns0:c r="AA28" s="31" t="str">
        <ns0:f>IF($B28=FALSE,"не выбрана",IF($G$1="","нет маршрута",INDEX('АРТК'!AA$1:AA$2,$G$1)))</ns0:f>
        <ns0:v>не выбрана</ns0:v>
      </ns0:c>
      <ns0:c r="AB28" s="31" t="str">
        <ns0:f>IF($B28=FALSE,"не выбрана",IF($G$1="","нет маршрута",INDEX('АРТК'!AB$1:AB$2,$G$1)))</ns0:f>
        <ns0:v>не выбрана</ns0:v>
      </ns0:c>
      <ns0:c r="AC28" s="31" t="str">
        <ns0:f>IF($B28=FALSE,"не выбрана",IF($G$1="","нет маршрута",INDEX('АРТК'!AC$1:AC$2,$G$1)))</ns0:f>
        <ns0:v>не выбрана</ns0:v>
      </ns0:c>
      <ns0:c r="AD28" s="31" t="str">
        <ns0:f>IF($B28=FALSE,"не выбрана",IF($G$1="","нет маршрута",INDEX('АРТК'!AD$1:AD$2,$G$1)))</ns0:f>
        <ns0:v>не выбрана</ns0:v>
      </ns0:c>
      <ns0:c r="AE28" s="31" t="str">
        <ns0:f>IF($B28=FALSE,"не выбрана",IF($G$1="","нет маршрута",INDEX('АРТК'!AE$1:AE$2,$G$1)))</ns0:f>
        <ns0:v>не выбрана</ns0:v>
      </ns0:c>
      <ns0:c r="AF28" s="31" t="str">
        <ns0:f>IF($B28=FALSE,"не выбрана",IF($G$1="","нет маршрута",INDEX('АРТК'!AF$1:AF$2,$G$1)))</ns0:f>
        <ns0:v>не выбрана</ns0:v>
      </ns0:c>
      <ns0:c r="AG28" s="31" t="n"/>
      <ns0:c r="AH28" s="31" t="n"/>
      <ns0:c r="AI28" s="31" t="n"/>
      <ns0:c r="AJ28" s="31" t="n"/>
      <ns0:c r="AK28" s="31" t="n"/>
      <ns0:c r="AL28" s="31" t="n"/>
      <ns0:c r="AM28" s="31" t="n"/>
      <ns0:c r="AN28" s="31" t="n"/>
      <ns0:c r="AO28" s="31" t="n"/>
      <ns0:c r="AP28" s="31" t="n"/>
      <ns0:c r="AQ28" s="31" t="n"/>
      <ns0:c r="AR28" s="31" t="n"/>
      <ns0:c r="AS28" s="31" t="n"/>
      <ns0:c r="AT28" s="31" t="n"/>
      <ns0:c r="AU28" s="31" t="n"/>
      <ns0:c r="AV28" s="31" t="n"/>
      <ns0:c r="AW28" s="31" t="n"/>
      <ns0:c r="AX28" s="31" t="n"/>
      <ns0:c r="AY28" s="31" t="n"/>
      <ns0:c r="AZ28" s="31" t="n"/>
      <ns0:c r="BA28" s="31" t="n"/>
      <ns0:c r="BB28" s="31" t="n"/>
      <ns0:c r="BC28" s="31" t="n"/>
      <ns0:c r="BD28" s="31" t="n"/>
      <ns0:c r="BE28" s="31" t="n"/>
      <ns0:c r="BF28" s="31" t="n"/>
      <ns0:c r="BG28" s="31" t="n"/>
      <ns0:c r="BH28" s="31" t="n"/>
      <ns0:c r="BI28" s="31" t="n"/>
      <ns0:c r="BJ28" s="31" t="n"/>
      <ns0:c r="BK28" s="31" t="n"/>
    </ns0:row>
    <ns0:row r="29">
      <ns0:c r="A29" s="31" t="inlineStr">
        <ns0:is>
          <ns0:t>Аскор</ns0:t>
        </ns0:is>
      </ns0:c>
      <ns0:c r="B29" s="31" t="b">
        <ns0:f>'Графики'!C44</ns0:f>
        <ns0:v>0</ns0:v>
      </ns0:c>
      <ns0:c r="C29" s="31" t="n"/>
      <ns0:c r="D29" s="31" t="str">
        <ns0:f>IF($B29=FALSE,"не выбрана",IF($G$1="","нет маршрута",INDEX('Аскор'!D$1:D$2,$G$1)))</ns0:f>
        <ns0:v>не выбрана</ns0:v>
      </ns0:c>
      <ns0:c r="E29" s="31" t="str">
        <ns0:f>IF($B29=FALSE,"не выбрана",IF($G$1="","нет маршрута",INDEX('Аскор'!E$1:E$2,$G$1)))</ns0:f>
        <ns0:v>не выбрана</ns0:v>
      </ns0:c>
      <ns0:c r="F29" s="31" t="str">
        <ns0:f>IF($B29=FALSE,"не выбрана",IF($G$1="","нет маршрута",INDEX('Аскор'!F$1:F$2,$G$1)))</ns0:f>
        <ns0:v>не выбрана</ns0:v>
      </ns0:c>
      <ns0:c r="G29" s="31" t="str">
        <ns0:f>IF($B29=FALSE,"не выбрана",IF($G$1="","нет маршрута",INDEX('Аскор'!G$1:G$2,$G$1)))</ns0:f>
        <ns0:v>не выбрана</ns0:v>
      </ns0:c>
      <ns0:c r="H29" s="31" t="str">
        <ns0:f>IF($B29=FALSE,"не выбрана",IF($G$1="","нет маршрута",INDEX('Аскор'!H$1:H$2,$G$1)))</ns0:f>
        <ns0:v>не выбрана</ns0:v>
      </ns0:c>
      <ns0:c r="I29" s="31" t="str">
        <ns0:f>IF($B29=FALSE,"не выбрана",IF($G$1="","нет маршрута",INDEX('Аскор'!I$1:I$2,$G$1)))</ns0:f>
        <ns0:v>не выбрана</ns0:v>
      </ns0:c>
      <ns0:c r="J29" s="31" t="str">
        <ns0:f>IF($B29=FALSE,"не выбрана",IF($G$1="","нет маршрута",INDEX('Аскор'!J$1:J$2,$G$1)))</ns0:f>
        <ns0:v>не выбрана</ns0:v>
      </ns0:c>
      <ns0:c r="K29" s="31" t="str">
        <ns0:f>IF($B29=FALSE,"не выбрана",IF($G$1="","нет маршрута",INDEX('Аскор'!K$1:K$2,$G$1)))</ns0:f>
        <ns0:v>не выбрана</ns0:v>
      </ns0:c>
      <ns0:c r="L29" s="31" t="str">
        <ns0:f>IF($B29=FALSE,"не выбрана",IF($G$1="","нет маршрута",INDEX('Аскор'!L$1:L$2,$G$1)))</ns0:f>
        <ns0:v>не выбрана</ns0:v>
      </ns0:c>
      <ns0:c r="M29" s="31" t="str">
        <ns0:f>IF($B29=FALSE,"не выбрана",IF($G$1="","нет маршрута",INDEX('Аскор'!M$1:M$2,$G$1)))</ns0:f>
        <ns0:v>не выбрана</ns0:v>
      </ns0:c>
      <ns0:c r="N29" s="31" t="str">
        <ns0:f>IF($B29=FALSE,"не выбрана",IF($G$1="","нет маршрута",INDEX('Аскор'!N$1:N$2,$G$1)))</ns0:f>
        <ns0:v>не выбрана</ns0:v>
      </ns0:c>
      <ns0:c r="O29" s="31" t="str">
        <ns0:f>IF($B29=FALSE,"не выбрана",IF($G$1="","нет маршрута",INDEX('Аскор'!O$1:O$2,$G$1)))</ns0:f>
        <ns0:v>не выбрана</ns0:v>
      </ns0:c>
      <ns0:c r="P29" s="31" t="str">
        <ns0:f>IF($B29=FALSE,"не выбрана",IF($G$1="","нет маршрута",INDEX('Аскор'!P$1:P$2,$G$1)))</ns0:f>
        <ns0:v>не выбрана</ns0:v>
      </ns0:c>
      <ns0:c r="Q29" s="31" t="str">
        <ns0:f>IF($B29=FALSE,"не выбрана",IF($G$1="","нет маршрута",INDEX('Аскор'!Q$1:Q$2,$G$1)))</ns0:f>
        <ns0:v>не выбрана</ns0:v>
      </ns0:c>
      <ns0:c r="R29" s="31" t="str">
        <ns0:f>IF($B29=FALSE,"не выбрана",IF($G$1="","нет маршрута",INDEX('Аскор'!R$1:R$2,$G$1)))</ns0:f>
        <ns0:v>не выбрана</ns0:v>
      </ns0:c>
      <ns0:c r="S29" s="31" t="str">
        <ns0:f>IF($B29=FALSE,"не выбрана",IF($G$1="","нет маршрута",INDEX('Аскор'!S$1:S$2,$G$1)))</ns0:f>
        <ns0:v>не выбрана</ns0:v>
      </ns0:c>
      <ns0:c r="T29" s="31" t="str">
        <ns0:f>IF($B29=FALSE,"не выбрана",IF($G$1="","нет маршрута",INDEX('Аскор'!T$1:T$2,$G$1)))</ns0:f>
        <ns0:v>не выбрана</ns0:v>
      </ns0:c>
      <ns0:c r="U29" s="31" t="str">
        <ns0:f>IF($B29=FALSE,"не выбрана",IF($G$1="","нет маршрута",INDEX('Аскор'!U$1:U$2,$G$1)))</ns0:f>
        <ns0:v>не выбрана</ns0:v>
      </ns0:c>
      <ns0:c r="V29" s="31" t="str">
        <ns0:f>IF($B29=FALSE,"не выбрана",IF($G$1="","нет маршрута",INDEX('Аскор'!V$1:V$2,$G$1)))</ns0:f>
        <ns0:v>не выбрана</ns0:v>
      </ns0:c>
      <ns0:c r="W29" s="31" t="str">
        <ns0:f>IF($B29=FALSE,"не выбрана",IF($G$1="","нет маршрута",INDEX('Аскор'!W$1:W$2,$G$1)))</ns0:f>
        <ns0:v>не выбрана</ns0:v>
      </ns0:c>
      <ns0:c r="X29" s="31" t="str">
        <ns0:f>IF($B29=FALSE,"не выбрана",IF($G$1="","нет маршрута",INDEX('Аскор'!X$1:X$2,$G$1)))</ns0:f>
        <ns0:v>не выбрана</ns0:v>
      </ns0:c>
      <ns0:c r="Y29" s="31" t="str">
        <ns0:f>IF($B29=FALSE,"не выбрана",IF($G$1="","нет маршрута",INDEX('Аскор'!Y$1:Y$2,$G$1)))</ns0:f>
        <ns0:v>не выбрана</ns0:v>
      </ns0:c>
      <ns0:c r="Z29" s="31" t="str">
        <ns0:f>IF($B29=FALSE,"не выбрана",IF($G$1="","нет маршрута",INDEX('Аскор'!Z$1:Z$2,$G$1)))</ns0:f>
        <ns0:v>не выбрана</ns0:v>
      </ns0:c>
      <ns0:c r="AA29" s="31" t="str">
        <ns0:f>IF($B29=FALSE,"не выбрана",IF($G$1="","нет маршрута",INDEX('Аскор'!AA$1:AA$2,$G$1)))</ns0:f>
        <ns0:v>не выбрана</ns0:v>
      </ns0:c>
      <ns0:c r="AB29" s="31" t="str">
        <ns0:f>IF($B29=FALSE,"не выбрана",IF($G$1="","нет маршрута",INDEX('Аскор'!AB$1:AB$2,$G$1)))</ns0:f>
        <ns0:v>не выбрана</ns0:v>
      </ns0:c>
      <ns0:c r="AC29" s="31" t="str">
        <ns0:f>IF($B29=FALSE,"не выбрана",IF($G$1="","нет маршрута",INDEX('Аскор'!AC$1:AC$2,$G$1)))</ns0:f>
        <ns0:v>не выбрана</ns0:v>
      </ns0:c>
      <ns0:c r="AD29" s="31" t="str">
        <ns0:f>IF($B29=FALSE,"не выбрана",IF($G$1="","нет маршрута",INDEX('Аскор'!AD$1:AD$2,$G$1)))</ns0:f>
        <ns0:v>не выбрана</ns0:v>
      </ns0:c>
      <ns0:c r="AE29" s="31" t="str">
        <ns0:f>IF($B29=FALSE,"не выбрана",IF($G$1="","нет маршрута",INDEX('Аскор'!AE$1:AE$2,$G$1)))</ns0:f>
        <ns0:v>не выбрана</ns0:v>
      </ns0:c>
      <ns0:c r="AF29" s="31" t="str">
        <ns0:f>IF($B29=FALSE,"не выбрана",IF($G$1="","нет маршрута",INDEX('Аскор'!AF$1:AF$2,$G$1)))</ns0:f>
        <ns0:v>не выбрана</ns0:v>
      </ns0:c>
      <ns0:c r="AG29" s="31" t="n"/>
      <ns0:c r="AH29" s="31" t="n"/>
      <ns0:c r="AI29" s="31" t="n"/>
      <ns0:c r="AJ29" s="31" t="n"/>
      <ns0:c r="AK29" s="31" t="n"/>
      <ns0:c r="AL29" s="31" t="n"/>
      <ns0:c r="AM29" s="31" t="n"/>
      <ns0:c r="AN29" s="31" t="n"/>
      <ns0:c r="AO29" s="31" t="n"/>
      <ns0:c r="AP29" s="31" t="n"/>
      <ns0:c r="AQ29" s="31" t="n"/>
      <ns0:c r="AR29" s="31" t="n"/>
      <ns0:c r="AS29" s="31" t="n"/>
      <ns0:c r="AT29" s="31" t="n"/>
      <ns0:c r="AU29" s="31" t="n"/>
      <ns0:c r="AV29" s="31" t="n"/>
      <ns0:c r="AW29" s="31" t="n"/>
      <ns0:c r="AX29" s="31" t="n"/>
      <ns0:c r="AY29" s="31" t="n"/>
      <ns0:c r="AZ29" s="31" t="n"/>
      <ns0:c r="BA29" s="31" t="n"/>
      <ns0:c r="BB29" s="31" t="n"/>
      <ns0:c r="BC29" s="31" t="n"/>
      <ns0:c r="BD29" s="31" t="n"/>
      <ns0:c r="BE29" s="31" t="n"/>
      <ns0:c r="BF29" s="31" t="n"/>
      <ns0:c r="BG29" s="31" t="n"/>
      <ns0:c r="BH29" s="31" t="n"/>
      <ns0:c r="BI29" s="31" t="n"/>
      <ns0:c r="BJ29" s="31" t="n"/>
      <ns0:c r="BK29" s="31" t="n"/>
    </ns0:row>
    <ns0:row r="30">
      <ns0:c r="A30" s="31" t="inlineStr">
        <ns0:is>
          <ns0:t>КараванКарго</ns0:t>
        </ns0:is>
      </ns0:c>
      <ns0:c r="B30" s="31" t="b">
        <ns0:f>'Графики'!C45</ns0:f>
        <ns0:v>0</ns0:v>
      </ns0:c>
      <ns0:c r="C30" s="31" t="n"/>
      <ns0:c r="D30" s="31" t="str">
        <ns0:f>IF($B30=FALSE,"не выбрана",IF($G$1="","нет маршрута",INDEX('КараванКарго'!D$1:D$2,$G$1)))</ns0:f>
        <ns0:v>не выбрана</ns0:v>
      </ns0:c>
      <ns0:c r="E30" s="31" t="str">
        <ns0:f>IF($B30=FALSE,"не выбрана",IF($G$1="","нет маршрута",INDEX('КараванКарго'!E$1:E$2,$G$1)))</ns0:f>
        <ns0:v>не выбрана</ns0:v>
      </ns0:c>
      <ns0:c r="F30" s="31" t="str">
        <ns0:f>IF($B30=FALSE,"не выбрана",IF($G$1="","нет маршрута",INDEX('КараванКарго'!F$1:F$2,$G$1)))</ns0:f>
        <ns0:v>не выбрана</ns0:v>
      </ns0:c>
      <ns0:c r="G30" s="31" t="str">
        <ns0:f>IF($B30=FALSE,"не выбрана",IF($G$1="","нет маршрута",INDEX('КараванКарго'!G$1:G$2,$G$1)))</ns0:f>
        <ns0:v>не выбрана</ns0:v>
      </ns0:c>
      <ns0:c r="H30" s="31" t="str">
        <ns0:f>IF($B30=FALSE,"не выбрана",IF($G$1="","нет маршрута",INDEX('КараванКарго'!H$1:H$2,$G$1)))</ns0:f>
        <ns0:v>не выбрана</ns0:v>
      </ns0:c>
      <ns0:c r="I30" s="31" t="str">
        <ns0:f>IF($B30=FALSE,"не выбрана",IF($G$1="","нет маршрута",INDEX('КараванКарго'!I$1:I$2,$G$1)))</ns0:f>
        <ns0:v>не выбрана</ns0:v>
      </ns0:c>
      <ns0:c r="J30" s="31" t="str">
        <ns0:f>IF($B30=FALSE,"не выбрана",IF($G$1="","нет маршрута",INDEX('КараванКарго'!J$1:J$2,$G$1)))</ns0:f>
        <ns0:v>не выбрана</ns0:v>
      </ns0:c>
      <ns0:c r="K30" s="31" t="str">
        <ns0:f>IF($B30=FALSE,"не выбрана",IF($G$1="","нет маршрута",INDEX('КараванКарго'!K$1:K$2,$G$1)))</ns0:f>
        <ns0:v>не выбрана</ns0:v>
      </ns0:c>
      <ns0:c r="L30" s="31" t="str">
        <ns0:f>IF($B30=FALSE,"не выбрана",IF($G$1="","нет маршрута",INDEX('КараванКарго'!L$1:L$2,$G$1)))</ns0:f>
        <ns0:v>не выбрана</ns0:v>
      </ns0:c>
      <ns0:c r="M30" s="31" t="str">
        <ns0:f>IF($B30=FALSE,"не выбрана",IF($G$1="","нет маршрута",INDEX('КараванКарго'!M$1:M$2,$G$1)))</ns0:f>
        <ns0:v>не выбрана</ns0:v>
      </ns0:c>
      <ns0:c r="N30" s="31" t="str">
        <ns0:f>IF($B30=FALSE,"не выбрана",IF($G$1="","нет маршрута",INDEX('КараванКарго'!N$1:N$2,$G$1)))</ns0:f>
        <ns0:v>не выбрана</ns0:v>
      </ns0:c>
      <ns0:c r="O30" s="31" t="str">
        <ns0:f>IF($B30=FALSE,"не выбрана",IF($G$1="","нет маршрута",INDEX('КараванКарго'!O$1:O$2,$G$1)))</ns0:f>
        <ns0:v>не выбрана</ns0:v>
      </ns0:c>
      <ns0:c r="P30" s="31" t="str">
        <ns0:f>IF($B30=FALSE,"не выбрана",IF($G$1="","нет маршрута",INDEX('КараванКарго'!P$1:P$2,$G$1)))</ns0:f>
        <ns0:v>не выбрана</ns0:v>
      </ns0:c>
      <ns0:c r="Q30" s="31" t="str">
        <ns0:f>IF($B30=FALSE,"не выбрана",IF($G$1="","нет маршрута",INDEX('КараванКарго'!Q$1:Q$2,$G$1)))</ns0:f>
        <ns0:v>не выбрана</ns0:v>
      </ns0:c>
      <ns0:c r="R30" s="31" t="str">
        <ns0:f>IF($B30=FALSE,"не выбрана",IF($G$1="","нет маршрута",INDEX('КараванКарго'!R$1:R$2,$G$1)))</ns0:f>
        <ns0:v>не выбрана</ns0:v>
      </ns0:c>
      <ns0:c r="S30" s="31" t="str">
        <ns0:f>IF($B30=FALSE,"не выбрана",IF($G$1="","нет маршрута",INDEX('КараванКарго'!S$1:S$2,$G$1)))</ns0:f>
        <ns0:v>не выбрана</ns0:v>
      </ns0:c>
      <ns0:c r="T30" s="31" t="str">
        <ns0:f>IF($B30=FALSE,"не выбрана",IF($G$1="","нет маршрута",INDEX('КараванКарго'!T$1:T$2,$G$1)))</ns0:f>
        <ns0:v>не выбрана</ns0:v>
      </ns0:c>
      <ns0:c r="U30" s="31" t="str">
        <ns0:f>IF($B30=FALSE,"не выбрана",IF($G$1="","нет маршрута",INDEX('КараванКарго'!U$1:U$2,$G$1)))</ns0:f>
        <ns0:v>не выбрана</ns0:v>
      </ns0:c>
      <ns0:c r="V30" s="31" t="str">
        <ns0:f>IF($B30=FALSE,"не выбрана",IF($G$1="","нет маршрута",INDEX('КараванКарго'!V$1:V$2,$G$1)))</ns0:f>
        <ns0:v>не выбрана</ns0:v>
      </ns0:c>
      <ns0:c r="W30" s="31" t="str">
        <ns0:f>IF($B30=FALSE,"не выбрана",IF($G$1="","нет маршрута",INDEX('КараванКарго'!W$1:W$2,$G$1)))</ns0:f>
        <ns0:v>не выбрана</ns0:v>
      </ns0:c>
      <ns0:c r="X30" s="31" t="str">
        <ns0:f>IF($B30=FALSE,"не выбрана",IF($G$1="","нет маршрута",INDEX('КараванКарго'!X$1:X$2,$G$1)))</ns0:f>
        <ns0:v>не выбрана</ns0:v>
      </ns0:c>
      <ns0:c r="Y30" s="31" t="str">
        <ns0:f>IF($B30=FALSE,"не выбрана",IF($G$1="","нет маршрута",INDEX('КараванКарго'!Y$1:Y$2,$G$1)))</ns0:f>
        <ns0:v>не выбрана</ns0:v>
      </ns0:c>
      <ns0:c r="Z30" s="31" t="str">
        <ns0:f>IF($B30=FALSE,"не выбрана",IF($G$1="","нет маршрута",INDEX('КараванКарго'!Z$1:Z$2,$G$1)))</ns0:f>
        <ns0:v>не выбрана</ns0:v>
      </ns0:c>
      <ns0:c r="AA30" s="31" t="str">
        <ns0:f>IF($B30=FALSE,"не выбрана",IF($G$1="","нет маршрута",INDEX('КараванКарго'!AA$1:AA$2,$G$1)))</ns0:f>
        <ns0:v>не выбрана</ns0:v>
      </ns0:c>
      <ns0:c r="AB30" s="31" t="str">
        <ns0:f>IF($B30=FALSE,"не выбрана",IF($G$1="","нет маршрута",INDEX('КараванКарго'!AB$1:AB$2,$G$1)))</ns0:f>
        <ns0:v>не выбрана</ns0:v>
      </ns0:c>
      <ns0:c r="AC30" s="31" t="str">
        <ns0:f>IF($B30=FALSE,"не выбрана",IF($G$1="","нет маршрута",INDEX('КараванКарго'!AC$1:AC$2,$G$1)))</ns0:f>
        <ns0:v>не выбрана</ns0:v>
      </ns0:c>
      <ns0:c r="AD30" s="31" t="str">
        <ns0:f>IF($B30=FALSE,"не выбрана",IF($G$1="","нет маршрута",INDEX('КараванКарго'!AD$1:AD$2,$G$1)))</ns0:f>
        <ns0:v>не выбрана</ns0:v>
      </ns0:c>
      <ns0:c r="AE30" s="31" t="str">
        <ns0:f>IF($B30=FALSE,"не выбрана",IF($G$1="","нет маршрута",INDEX('КараванКарго'!AE$1:AE$2,$G$1)))</ns0:f>
        <ns0:v>не выбрана</ns0:v>
      </ns0:c>
      <ns0:c r="AF30" s="31" t="str">
        <ns0:f>IF($B30=FALSE,"не выбрана",IF($G$1="","нет маршрута",INDEX('КараванКарго'!AF$1:AF$2,$G$1)))</ns0:f>
        <ns0:v>не выбрана</ns0:v>
      </ns0:c>
      <ns0:c r="AG30" s="31" t="n"/>
      <ns0:c r="AH30" s="31" t="n"/>
      <ns0:c r="AI30" s="31" t="n"/>
      <ns0:c r="AJ30" s="31" t="n"/>
      <ns0:c r="AK30" s="31" t="n"/>
      <ns0:c r="AL30" s="31" t="n"/>
      <ns0:c r="AM30" s="31" t="n"/>
      <ns0:c r="AN30" s="31" t="n"/>
      <ns0:c r="AO30" s="31" t="n"/>
      <ns0:c r="AP30" s="31" t="n"/>
      <ns0:c r="AQ30" s="31" t="n"/>
      <ns0:c r="AR30" s="31" t="n"/>
      <ns0:c r="AS30" s="31" t="n"/>
      <ns0:c r="AT30" s="31" t="n"/>
      <ns0:c r="AU30" s="31" t="n"/>
      <ns0:c r="AV30" s="31" t="n"/>
      <ns0:c r="AW30" s="31" t="n"/>
      <ns0:c r="AX30" s="31" t="n"/>
      <ns0:c r="AY30" s="31" t="n"/>
      <ns0:c r="AZ30" s="31" t="n"/>
      <ns0:c r="BA30" s="31" t="n"/>
      <ns0:c r="BB30" s="31" t="n"/>
      <ns0:c r="BC30" s="31" t="n"/>
      <ns0:c r="BD30" s="31" t="n"/>
      <ns0:c r="BE30" s="31" t="n"/>
      <ns0:c r="BF30" s="31" t="n"/>
      <ns0:c r="BG30" s="31" t="n"/>
      <ns0:c r="BH30" s="31" t="n"/>
      <ns0:c r="BI30" s="31" t="n"/>
      <ns0:c r="BJ30" s="31" t="n"/>
      <ns0:c r="BK30" s="31" t="n"/>
    </ns0:row>
    <ns0:row r="31">
      <ns0:c r="A31" s="31" t="inlineStr">
        <ns0:is>
          <ns0:t>СолнечныйМагадан</ns0:t>
        </ns0:is>
      </ns0:c>
      <ns0:c r="B31" s="31" t="b">
        <ns0:f>'Графики'!C46</ns0:f>
        <ns0:v>0</ns0:v>
      </ns0:c>
      <ns0:c r="C31" s="31" t="n"/>
      <ns0:c r="D31" s="31" t="str">
        <ns0:f>IF($B31=FALSE,"не выбрана",IF($G$1="","нет маршрута",INDEX('СолнечныйМагадан'!D$1:D$2,$G$1)))</ns0:f>
        <ns0:v>не выбрана</ns0:v>
      </ns0:c>
      <ns0:c r="E31" s="31" t="str">
        <ns0:f>IF($B31=FALSE,"не выбрана",IF($G$1="","нет маршрута",INDEX('СолнечныйМагадан'!E$1:E$2,$G$1)))</ns0:f>
        <ns0:v>не выбрана</ns0:v>
      </ns0:c>
      <ns0:c r="F31" s="31" t="str">
        <ns0:f>IF($B31=FALSE,"не выбрана",IF($G$1="","нет маршрута",INDEX('СолнечныйМагадан'!F$1:F$2,$G$1)))</ns0:f>
        <ns0:v>не выбрана</ns0:v>
      </ns0:c>
      <ns0:c r="G31" s="31" t="str">
        <ns0:f>IF($B31=FALSE,"не выбрана",IF($G$1="","нет маршрута",INDEX('СолнечныйМагадан'!G$1:G$2,$G$1)))</ns0:f>
        <ns0:v>не выбрана</ns0:v>
      </ns0:c>
      <ns0:c r="H31" s="31" t="str">
        <ns0:f>IF($B31=FALSE,"не выбрана",IF($G$1="","нет маршрута",INDEX('СолнечныйМагадан'!H$1:H$2,$G$1)))</ns0:f>
        <ns0:v>не выбрана</ns0:v>
      </ns0:c>
      <ns0:c r="I31" s="31" t="str">
        <ns0:f>IF($B31=FALSE,"не выбрана",IF($G$1="","нет маршрута",INDEX('СолнечныйМагадан'!I$1:I$2,$G$1)))</ns0:f>
        <ns0:v>не выбрана</ns0:v>
      </ns0:c>
      <ns0:c r="J31" s="31" t="str">
        <ns0:f>IF($B31=FALSE,"не выбрана",IF($G$1="","нет маршрута",INDEX('СолнечныйМагадан'!J$1:J$2,$G$1)))</ns0:f>
        <ns0:v>не выбрана</ns0:v>
      </ns0:c>
      <ns0:c r="K31" s="31" t="str">
        <ns0:f>IF($B31=FALSE,"не выбрана",IF($G$1="","нет маршрута",INDEX('СолнечныйМагадан'!K$1:K$2,$G$1)))</ns0:f>
        <ns0:v>не выбрана</ns0:v>
      </ns0:c>
      <ns0:c r="L31" s="31" t="str">
        <ns0:f>IF($B31=FALSE,"не выбрана",IF($G$1="","нет маршрута",INDEX('СолнечныйМагадан'!L$1:L$2,$G$1)))</ns0:f>
        <ns0:v>не выбрана</ns0:v>
      </ns0:c>
      <ns0:c r="M31" s="31" t="str">
        <ns0:f>IF($B31=FALSE,"не выбрана",IF($G$1="","нет маршрута",INDEX('СолнечныйМагадан'!M$1:M$2,$G$1)))</ns0:f>
        <ns0:v>не выбрана</ns0:v>
      </ns0:c>
      <ns0:c r="N31" s="31" t="str">
        <ns0:f>IF($B31=FALSE,"не выбрана",IF($G$1="","нет маршрута",INDEX('СолнечныйМагадан'!N$1:N$2,$G$1)))</ns0:f>
        <ns0:v>не выбрана</ns0:v>
      </ns0:c>
      <ns0:c r="O31" s="31" t="str">
        <ns0:f>IF($B31=FALSE,"не выбрана",IF($G$1="","нет маршрута",INDEX('СолнечныйМагадан'!O$1:O$2,$G$1)))</ns0:f>
        <ns0:v>не выбрана</ns0:v>
      </ns0:c>
      <ns0:c r="P31" s="31" t="str">
        <ns0:f>IF($B31=FALSE,"не выбрана",IF($G$1="","нет маршрута",INDEX('СолнечныйМагадан'!P$1:P$2,$G$1)))</ns0:f>
        <ns0:v>не выбрана</ns0:v>
      </ns0:c>
      <ns0:c r="Q31" s="31" t="str">
        <ns0:f>IF($B31=FALSE,"не выбрана",IF($G$1="","нет маршрута",INDEX('СолнечныйМагадан'!Q$1:Q$2,$G$1)))</ns0:f>
        <ns0:v>не выбрана</ns0:v>
      </ns0:c>
      <ns0:c r="R31" s="31" t="str">
        <ns0:f>IF($B31=FALSE,"не выбрана",IF($G$1="","нет маршрута",INDEX('СолнечныйМагадан'!R$1:R$2,$G$1)))</ns0:f>
        <ns0:v>не выбрана</ns0:v>
      </ns0:c>
      <ns0:c r="S31" s="31" t="str">
        <ns0:f>IF($B31=FALSE,"не выбрана",IF($G$1="","нет маршрута",INDEX('СолнечныйМагадан'!S$1:S$2,$G$1)))</ns0:f>
        <ns0:v>не выбрана</ns0:v>
      </ns0:c>
      <ns0:c r="T31" s="31" t="str">
        <ns0:f>IF($B31=FALSE,"не выбрана",IF($G$1="","нет маршрута",INDEX('СолнечныйМагадан'!T$1:T$2,$G$1)))</ns0:f>
        <ns0:v>не выбрана</ns0:v>
      </ns0:c>
      <ns0:c r="U31" s="31" t="str">
        <ns0:f>IF($B31=FALSE,"не выбрана",IF($G$1="","нет маршрута",INDEX('СолнечныйМагадан'!U$1:U$2,$G$1)))</ns0:f>
        <ns0:v>не выбрана</ns0:v>
      </ns0:c>
      <ns0:c r="V31" s="31" t="str">
        <ns0:f>IF($B31=FALSE,"не выбрана",IF($G$1="","нет маршрута",INDEX('СолнечныйМагадан'!V$1:V$2,$G$1)))</ns0:f>
        <ns0:v>не выбрана</ns0:v>
      </ns0:c>
      <ns0:c r="W31" s="31" t="str">
        <ns0:f>IF($B31=FALSE,"не выбрана",IF($G$1="","нет маршрута",INDEX('СолнечныйМагадан'!W$1:W$2,$G$1)))</ns0:f>
        <ns0:v>не выбрана</ns0:v>
      </ns0:c>
      <ns0:c r="X31" s="31" t="str">
        <ns0:f>IF($B31=FALSE,"не выбрана",IF($G$1="","нет маршрута",INDEX('СолнечныйМагадан'!X$1:X$2,$G$1)))</ns0:f>
        <ns0:v>не выбрана</ns0:v>
      </ns0:c>
      <ns0:c r="Y31" s="31" t="str">
        <ns0:f>IF($B31=FALSE,"не выбрана",IF($G$1="","нет маршрута",INDEX('СолнечныйМагадан'!Y$1:Y$2,$G$1)))</ns0:f>
        <ns0:v>не выбрана</ns0:v>
      </ns0:c>
      <ns0:c r="Z31" s="31" t="str">
        <ns0:f>IF($B31=FALSE,"не выбрана",IF($G$1="","нет маршрута",INDEX('СолнечныйМагадан'!Z$1:Z$2,$G$1)))</ns0:f>
        <ns0:v>не выбрана</ns0:v>
      </ns0:c>
      <ns0:c r="AA31" s="31" t="str">
        <ns0:f>IF($B31=FALSE,"не выбрана",IF($G$1="","нет маршрута",INDEX('СолнечныйМагадан'!AA$1:AA$2,$G$1)))</ns0:f>
        <ns0:v>не выбрана</ns0:v>
      </ns0:c>
      <ns0:c r="AB31" s="31" t="str">
        <ns0:f>IF($B31=FALSE,"не выбрана",IF($G$1="","нет маршрута",INDEX('СолнечныйМагадан'!AB$1:AB$2,$G$1)))</ns0:f>
        <ns0:v>не выбрана</ns0:v>
      </ns0:c>
      <ns0:c r="AC31" s="31" t="str">
        <ns0:f>IF($B31=FALSE,"не выбрана",IF($G$1="","нет маршрута",INDEX('СолнечныйМагадан'!AC$1:AC$2,$G$1)))</ns0:f>
        <ns0:v>не выбрана</ns0:v>
      </ns0:c>
      <ns0:c r="AD31" s="31" t="str">
        <ns0:f>IF($B31=FALSE,"не выбрана",IF($G$1="","нет маршрута",INDEX('СолнечныйМагадан'!AD$1:AD$2,$G$1)))</ns0:f>
        <ns0:v>не выбрана</ns0:v>
      </ns0:c>
      <ns0:c r="AE31" s="31" t="str">
        <ns0:f>IF($B31=FALSE,"не выбрана",IF($G$1="","нет маршрута",INDEX('СолнечныйМагадан'!AE$1:AE$2,$G$1)))</ns0:f>
        <ns0:v>не выбрана</ns0:v>
      </ns0:c>
      <ns0:c r="AF31" s="31" t="str">
        <ns0:f>IF($B31=FALSE,"не выбрана",IF($G$1="","нет маршрута",INDEX('СолнечныйМагадан'!AF$1:AF$2,$G$1)))</ns0:f>
        <ns0:v>не выбрана</ns0:v>
      </ns0:c>
      <ns0:c r="AG31" s="31" t="n"/>
      <ns0:c r="AH31" s="31" t="n"/>
      <ns0:c r="AI31" s="31" t="n"/>
      <ns0:c r="AJ31" s="31" t="n"/>
      <ns0:c r="AK31" s="31" t="n"/>
      <ns0:c r="AL31" s="31" t="n"/>
      <ns0:c r="AM31" s="31" t="n"/>
      <ns0:c r="AN31" s="31" t="n"/>
      <ns0:c r="AO31" s="31" t="n"/>
      <ns0:c r="AP31" s="31" t="n"/>
      <ns0:c r="AQ31" s="31" t="n"/>
      <ns0:c r="AR31" s="31" t="n"/>
      <ns0:c r="AS31" s="31" t="n"/>
      <ns0:c r="AT31" s="31" t="n"/>
      <ns0:c r="AU31" s="31" t="n"/>
      <ns0:c r="AV31" s="31" t="n"/>
      <ns0:c r="AW31" s="31" t="n"/>
      <ns0:c r="AX31" s="31" t="n"/>
      <ns0:c r="AY31" s="31" t="n"/>
      <ns0:c r="AZ31" s="31" t="n"/>
      <ns0:c r="BA31" s="31" t="n"/>
      <ns0:c r="BB31" s="31" t="n"/>
      <ns0:c r="BC31" s="31" t="n"/>
      <ns0:c r="BD31" s="31" t="n"/>
      <ns0:c r="BE31" s="31" t="n"/>
      <ns0:c r="BF31" s="31" t="n"/>
      <ns0:c r="BG31" s="31" t="n"/>
      <ns0:c r="BH31" s="31" t="n"/>
      <ns0:c r="BI31" s="31" t="n"/>
      <ns0:c r="BJ31" s="31" t="n"/>
      <ns0:c r="BK31" s="31" t="n"/>
    </ns0:row>
    <ns0:row r="32">
      <ns0:c r="A32" s="31" t="inlineStr">
        <ns0:is>
          <ns0:t>Анкор</ns0:t>
        </ns0:is>
      </ns0:c>
      <ns0:c r="B32" s="31" t="b">
        <ns0:f>'Графики'!C47</ns0:f>
        <ns0:v>0</ns0:v>
      </ns0:c>
      <ns0:c r="C32" s="31" t="n"/>
      <ns0:c r="D32" s="31" t="str">
        <ns0:f>IF($B32=FALSE,"не выбрана",IF($G$1="","нет маршрута",INDEX('Анкор'!D$1:D$2,$G$1)))</ns0:f>
        <ns0:v>не выбрана</ns0:v>
      </ns0:c>
      <ns0:c r="E32" s="31" t="str">
        <ns0:f>IF($B32=FALSE,"не выбрана",IF($G$1="","нет маршрута",INDEX('Анкор'!E$1:E$2,$G$1)))</ns0:f>
        <ns0:v>не выбрана</ns0:v>
      </ns0:c>
      <ns0:c r="F32" s="31" t="str">
        <ns0:f>IF($B32=FALSE,"не выбрана",IF($G$1="","нет маршрута",INDEX('Анкор'!F$1:F$2,$G$1)))</ns0:f>
        <ns0:v>не выбрана</ns0:v>
      </ns0:c>
      <ns0:c r="G32" s="31" t="str">
        <ns0:f>IF($B32=FALSE,"не выбрана",IF($G$1="","нет маршрута",INDEX('Анкор'!G$1:G$2,$G$1)))</ns0:f>
        <ns0:v>не выбрана</ns0:v>
      </ns0:c>
      <ns0:c r="H32" s="31" t="str">
        <ns0:f>IF($B32=FALSE,"не выбрана",IF($G$1="","нет маршрута",INDEX('Анкор'!H$1:H$2,$G$1)))</ns0:f>
        <ns0:v>не выбрана</ns0:v>
      </ns0:c>
      <ns0:c r="I32" s="31" t="str">
        <ns0:f>IF($B32=FALSE,"не выбрана",IF($G$1="","нет маршрута",INDEX('Анкор'!I$1:I$2,$G$1)))</ns0:f>
        <ns0:v>не выбрана</ns0:v>
      </ns0:c>
      <ns0:c r="J32" s="31" t="str">
        <ns0:f>IF($B32=FALSE,"не выбрана",IF($G$1="","нет маршрута",INDEX('Анкор'!J$1:J$2,$G$1)))</ns0:f>
        <ns0:v>не выбрана</ns0:v>
      </ns0:c>
      <ns0:c r="K32" s="31" t="str">
        <ns0:f>IF($B32=FALSE,"не выбрана",IF($G$1="","нет маршрута",INDEX('Анкор'!K$1:K$2,$G$1)))</ns0:f>
        <ns0:v>не выбрана</ns0:v>
      </ns0:c>
      <ns0:c r="L32" s="31" t="str">
        <ns0:f>IF($B32=FALSE,"не выбрана",IF($G$1="","нет маршрута",INDEX('Анкор'!L$1:L$2,$G$1)))</ns0:f>
        <ns0:v>не выбрана</ns0:v>
      </ns0:c>
      <ns0:c r="M32" s="31" t="str">
        <ns0:f>IF($B32=FALSE,"не выбрана",IF($G$1="","нет маршрута",INDEX('Анкор'!M$1:M$2,$G$1)))</ns0:f>
        <ns0:v>не выбрана</ns0:v>
      </ns0:c>
      <ns0:c r="N32" s="31" t="str">
        <ns0:f>IF($B32=FALSE,"не выбрана",IF($G$1="","нет маршрута",INDEX('Анкор'!N$1:N$2,$G$1)))</ns0:f>
        <ns0:v>не выбрана</ns0:v>
      </ns0:c>
      <ns0:c r="O32" s="31" t="str">
        <ns0:f>IF($B32=FALSE,"не выбрана",IF($G$1="","нет маршрута",INDEX('Анкор'!O$1:O$2,$G$1)))</ns0:f>
        <ns0:v>не выбрана</ns0:v>
      </ns0:c>
      <ns0:c r="P32" s="31" t="str">
        <ns0:f>IF($B32=FALSE,"не выбрана",IF($G$1="","нет маршрута",INDEX('Анкор'!P$1:P$2,$G$1)))</ns0:f>
        <ns0:v>не выбрана</ns0:v>
      </ns0:c>
      <ns0:c r="Q32" s="31" t="str">
        <ns0:f>IF($B32=FALSE,"не выбрана",IF($G$1="","нет маршрута",INDEX('Анкор'!Q$1:Q$2,$G$1)))</ns0:f>
        <ns0:v>не выбрана</ns0:v>
      </ns0:c>
      <ns0:c r="R32" s="31" t="str">
        <ns0:f>IF($B32=FALSE,"не выбрана",IF($G$1="","нет маршрута",INDEX('Анкор'!R$1:R$2,$G$1)))</ns0:f>
        <ns0:v>не выбрана</ns0:v>
      </ns0:c>
      <ns0:c r="S32" s="31" t="str">
        <ns0:f>IF($B32=FALSE,"не выбрана",IF($G$1="","нет маршрута",INDEX('Анкор'!S$1:S$2,$G$1)))</ns0:f>
        <ns0:v>не выбрана</ns0:v>
      </ns0:c>
      <ns0:c r="T32" s="31" t="str">
        <ns0:f>IF($B32=FALSE,"не выбрана",IF($G$1="","нет маршрута",INDEX('Анкор'!T$1:T$2,$G$1)))</ns0:f>
        <ns0:v>не выбрана</ns0:v>
      </ns0:c>
      <ns0:c r="U32" s="31" t="str">
        <ns0:f>IF($B32=FALSE,"не выбрана",IF($G$1="","нет маршрута",INDEX('Анкор'!U$1:U$2,$G$1)))</ns0:f>
        <ns0:v>не выбрана</ns0:v>
      </ns0:c>
      <ns0:c r="V32" s="31" t="str">
        <ns0:f>IF($B32=FALSE,"не выбрана",IF($G$1="","нет маршрута",INDEX('Анкор'!V$1:V$2,$G$1)))</ns0:f>
        <ns0:v>не выбрана</ns0:v>
      </ns0:c>
      <ns0:c r="W32" s="31" t="str">
        <ns0:f>IF($B32=FALSE,"не выбрана",IF($G$1="","нет маршрута",INDEX('Анкор'!W$1:W$2,$G$1)))</ns0:f>
        <ns0:v>не выбрана</ns0:v>
      </ns0:c>
      <ns0:c r="X32" s="31" t="str">
        <ns0:f>IF($B32=FALSE,"не выбрана",IF($G$1="","нет маршрута",INDEX('Анкор'!X$1:X$2,$G$1)))</ns0:f>
        <ns0:v>не выбрана</ns0:v>
      </ns0:c>
      <ns0:c r="Y32" s="31" t="str">
        <ns0:f>IF($B32=FALSE,"не выбрана",IF($G$1="","нет маршрута",INDEX('Анкор'!Y$1:Y$2,$G$1)))</ns0:f>
        <ns0:v>не выбрана</ns0:v>
      </ns0:c>
      <ns0:c r="Z32" s="31" t="str">
        <ns0:f>IF($B32=FALSE,"не выбрана",IF($G$1="","нет маршрута",INDEX('Анкор'!Z$1:Z$2,$G$1)))</ns0:f>
        <ns0:v>не выбрана</ns0:v>
      </ns0:c>
      <ns0:c r="AA32" s="31" t="str">
        <ns0:f>IF($B32=FALSE,"не выбрана",IF($G$1="","нет маршрута",INDEX('Анкор'!AA$1:AA$2,$G$1)))</ns0:f>
        <ns0:v>не выбрана</ns0:v>
      </ns0:c>
      <ns0:c r="AB32" s="31" t="str">
        <ns0:f>IF($B32=FALSE,"не выбрана",IF($G$1="","нет маршрута",INDEX('Анкор'!AB$1:AB$2,$G$1)))</ns0:f>
        <ns0:v>не выбрана</ns0:v>
      </ns0:c>
      <ns0:c r="AC32" s="31" t="str">
        <ns0:f>IF($B32=FALSE,"не выбрана",IF($G$1="","нет маршрута",INDEX('Анкор'!AC$1:AC$2,$G$1)))</ns0:f>
        <ns0:v>не выбрана</ns0:v>
      </ns0:c>
      <ns0:c r="AD32" s="31" t="str">
        <ns0:f>IF($B32=FALSE,"не выбрана",IF($G$1="","нет маршрута",INDEX('Анкор'!AD$1:AD$2,$G$1)))</ns0:f>
        <ns0:v>не выбрана</ns0:v>
      </ns0:c>
      <ns0:c r="AE32" s="31" t="str">
        <ns0:f>IF($B32=FALSE,"не выбрана",IF($G$1="","нет маршрута",INDEX('Анкор'!AE$1:AE$2,$G$1)))</ns0:f>
        <ns0:v>не выбрана</ns0:v>
      </ns0:c>
      <ns0:c r="AF32" s="31" t="str">
        <ns0:f>IF($B32=FALSE,"не выбрана",IF($G$1="","нет маршрута",INDEX('Анкор'!AF$1:AF$2,$G$1)))</ns0:f>
        <ns0:v>не выбрана</ns0:v>
      </ns0:c>
      <ns0:c r="AG32" s="31" t="n"/>
      <ns0:c r="AH32" s="31" t="n"/>
      <ns0:c r="AI32" s="31" t="n"/>
      <ns0:c r="AJ32" s="31" t="n"/>
      <ns0:c r="AK32" s="31" t="n"/>
      <ns0:c r="AL32" s="31" t="n"/>
      <ns0:c r="AM32" s="31" t="n"/>
      <ns0:c r="AN32" s="31" t="n"/>
      <ns0:c r="AO32" s="31" t="n"/>
      <ns0:c r="AP32" s="31" t="n"/>
      <ns0:c r="AQ32" s="31" t="n"/>
      <ns0:c r="AR32" s="31" t="n"/>
      <ns0:c r="AS32" s="31" t="n"/>
      <ns0:c r="AT32" s="31" t="n"/>
      <ns0:c r="AU32" s="31" t="n"/>
      <ns0:c r="AV32" s="31" t="n"/>
      <ns0:c r="AW32" s="31" t="n"/>
      <ns0:c r="AX32" s="31" t="n"/>
      <ns0:c r="AY32" s="31" t="n"/>
      <ns0:c r="AZ32" s="31" t="n"/>
      <ns0:c r="BA32" s="31" t="n"/>
      <ns0:c r="BB32" s="31" t="n"/>
      <ns0:c r="BC32" s="31" t="n"/>
      <ns0:c r="BD32" s="31" t="n"/>
      <ns0:c r="BE32" s="31" t="n"/>
      <ns0:c r="BF32" s="31" t="n"/>
      <ns0:c r="BG32" s="31" t="n"/>
      <ns0:c r="BH32" s="31" t="n"/>
      <ns0:c r="BI32" s="31" t="n"/>
      <ns0:c r="BJ32" s="31" t="n"/>
      <ns0:c r="BK32" s="31" t="n"/>
    </ns0:row>
    <ns0:row r="33">
      <ns0:c r="A33" s="31" t="inlineStr">
        <ns0:is>
          <ns0:t>ЖелдорАльянс</ns0:t>
        </ns0:is>
      </ns0:c>
      <ns0:c r="B33" s="31" t="b">
        <ns0:f>'Графики'!C48</ns0:f>
        <ns0:v>0</ns0:v>
      </ns0:c>
      <ns0:c r="C33" s="31" t="n"/>
      <ns0:c r="D33" s="31" t="str">
        <ns0:f>IF($B33=FALSE,"не выбрана",IF($G$1="","нет маршрута",INDEX('ЖелдорАльянс'!D$1:D$2,$G$1)))</ns0:f>
        <ns0:v>не выбрана</ns0:v>
      </ns0:c>
      <ns0:c r="E33" s="31" t="str">
        <ns0:f>IF($B33=FALSE,"не выбрана",IF($G$1="","нет маршрута",INDEX('ЖелдорАльянс'!E$1:E$2,$G$1)))</ns0:f>
        <ns0:v>не выбрана</ns0:v>
      </ns0:c>
      <ns0:c r="F33" s="31" t="str">
        <ns0:f>IF($B33=FALSE,"не выбрана",IF($G$1="","нет маршрута",INDEX('ЖелдорАльянс'!F$1:F$2,$G$1)))</ns0:f>
        <ns0:v>не выбрана</ns0:v>
      </ns0:c>
      <ns0:c r="G33" s="31" t="str">
        <ns0:f>IF($B33=FALSE,"не выбрана",IF($G$1="","нет маршрута",INDEX('ЖелдорАльянс'!G$1:G$2,$G$1)))</ns0:f>
        <ns0:v>не выбрана</ns0:v>
      </ns0:c>
      <ns0:c r="H33" s="31" t="str">
        <ns0:f>IF($B33=FALSE,"не выбрана",IF($G$1="","нет маршрута",INDEX('ЖелдорАльянс'!H$1:H$2,$G$1)))</ns0:f>
        <ns0:v>не выбрана</ns0:v>
      </ns0:c>
      <ns0:c r="I33" s="31" t="str">
        <ns0:f>IF($B33=FALSE,"не выбрана",IF($G$1="","нет маршрута",INDEX('ЖелдорАльянс'!I$1:I$2,$G$1)))</ns0:f>
        <ns0:v>не выбрана</ns0:v>
      </ns0:c>
      <ns0:c r="J33" s="31" t="str">
        <ns0:f>IF($B33=FALSE,"не выбрана",IF($G$1="","нет маршрута",INDEX('ЖелдорАльянс'!J$1:J$2,$G$1)))</ns0:f>
        <ns0:v>не выбрана</ns0:v>
      </ns0:c>
      <ns0:c r="K33" s="31" t="str">
        <ns0:f>IF($B33=FALSE,"не выбрана",IF($G$1="","нет маршрута",INDEX('ЖелдорАльянс'!K$1:K$2,$G$1)))</ns0:f>
        <ns0:v>не выбрана</ns0:v>
      </ns0:c>
      <ns0:c r="L33" s="31" t="str">
        <ns0:f>IF($B33=FALSE,"не выбрана",IF($G$1="","нет маршрута",INDEX('ЖелдорАльянс'!L$1:L$2,$G$1)))</ns0:f>
        <ns0:v>не выбрана</ns0:v>
      </ns0:c>
      <ns0:c r="M33" s="31" t="str">
        <ns0:f>IF($B33=FALSE,"не выбрана",IF($G$1="","нет маршрута",INDEX('ЖелдорАльянс'!M$1:M$2,$G$1)))</ns0:f>
        <ns0:v>не выбрана</ns0:v>
      </ns0:c>
      <ns0:c r="N33" s="31" t="str">
        <ns0:f>IF($B33=FALSE,"не выбрана",IF($G$1="","нет маршрута",INDEX('ЖелдорАльянс'!N$1:N$2,$G$1)))</ns0:f>
        <ns0:v>не выбрана</ns0:v>
      </ns0:c>
      <ns0:c r="O33" s="31" t="str">
        <ns0:f>IF($B33=FALSE,"не выбрана",IF($G$1="","нет маршрута",INDEX('ЖелдорАльянс'!O$1:O$2,$G$1)))</ns0:f>
        <ns0:v>не выбрана</ns0:v>
      </ns0:c>
      <ns0:c r="P33" s="31" t="str">
        <ns0:f>IF($B33=FALSE,"не выбрана",IF($G$1="","нет маршрута",INDEX('ЖелдорАльянс'!P$1:P$2,$G$1)))</ns0:f>
        <ns0:v>не выбрана</ns0:v>
      </ns0:c>
      <ns0:c r="Q33" s="31" t="str">
        <ns0:f>IF($B33=FALSE,"не выбрана",IF($G$1="","нет маршрута",INDEX('ЖелдорАльянс'!Q$1:Q$2,$G$1)))</ns0:f>
        <ns0:v>не выбрана</ns0:v>
      </ns0:c>
      <ns0:c r="R33" s="31" t="str">
        <ns0:f>IF($B33=FALSE,"не выбрана",IF($G$1="","нет маршрута",INDEX('ЖелдорАльянс'!R$1:R$2,$G$1)))</ns0:f>
        <ns0:v>не выбрана</ns0:v>
      </ns0:c>
      <ns0:c r="S33" s="31" t="str">
        <ns0:f>IF($B33=FALSE,"не выбрана",IF($G$1="","нет маршрута",INDEX('ЖелдорАльянс'!S$1:S$2,$G$1)))</ns0:f>
        <ns0:v>не выбрана</ns0:v>
      </ns0:c>
      <ns0:c r="T33" s="31" t="str">
        <ns0:f>IF($B33=FALSE,"не выбрана",IF($G$1="","нет маршрута",INDEX('ЖелдорАльянс'!T$1:T$2,$G$1)))</ns0:f>
        <ns0:v>не выбрана</ns0:v>
      </ns0:c>
      <ns0:c r="U33" s="31" t="str">
        <ns0:f>IF($B33=FALSE,"не выбрана",IF($G$1="","нет маршрута",INDEX('ЖелдорАльянс'!U$1:U$2,$G$1)))</ns0:f>
        <ns0:v>не выбрана</ns0:v>
      </ns0:c>
      <ns0:c r="V33" s="31" t="str">
        <ns0:f>IF($B33=FALSE,"не выбрана",IF($G$1="","нет маршрута",INDEX('ЖелдорАльянс'!V$1:V$2,$G$1)))</ns0:f>
        <ns0:v>не выбрана</ns0:v>
      </ns0:c>
      <ns0:c r="W33" s="31" t="str">
        <ns0:f>IF($B33=FALSE,"не выбрана",IF($G$1="","нет маршрута",INDEX('ЖелдорАльянс'!W$1:W$2,$G$1)))</ns0:f>
        <ns0:v>не выбрана</ns0:v>
      </ns0:c>
      <ns0:c r="X33" s="31" t="str">
        <ns0:f>IF($B33=FALSE,"не выбрана",IF($G$1="","нет маршрута",INDEX('ЖелдорАльянс'!X$1:X$2,$G$1)))</ns0:f>
        <ns0:v>не выбрана</ns0:v>
      </ns0:c>
      <ns0:c r="Y33" s="31" t="str">
        <ns0:f>IF($B33=FALSE,"не выбрана",IF($G$1="","нет маршрута",INDEX('ЖелдорАльянс'!Y$1:Y$2,$G$1)))</ns0:f>
        <ns0:v>не выбрана</ns0:v>
      </ns0:c>
      <ns0:c r="Z33" s="31" t="str">
        <ns0:f>IF($B33=FALSE,"не выбрана",IF($G$1="","нет маршрута",INDEX('ЖелдорАльянс'!Z$1:Z$2,$G$1)))</ns0:f>
        <ns0:v>не выбрана</ns0:v>
      </ns0:c>
      <ns0:c r="AA33" s="31" t="str">
        <ns0:f>IF($B33=FALSE,"не выбрана",IF($G$1="","нет маршрута",INDEX('ЖелдорАльянс'!AA$1:AA$2,$G$1)))</ns0:f>
        <ns0:v>не выбрана</ns0:v>
      </ns0:c>
      <ns0:c r="AB33" s="31" t="str">
        <ns0:f>IF($B33=FALSE,"не выбрана",IF($G$1="","нет маршрута",INDEX('ЖелдорАльянс'!AB$1:AB$2,$G$1)))</ns0:f>
        <ns0:v>не выбрана</ns0:v>
      </ns0:c>
      <ns0:c r="AC33" s="31" t="str">
        <ns0:f>IF($B33=FALSE,"не выбрана",IF($G$1="","нет маршрута",INDEX('ЖелдорАльянс'!AC$1:AC$2,$G$1)))</ns0:f>
        <ns0:v>не выбрана</ns0:v>
      </ns0:c>
      <ns0:c r="AD33" s="31" t="str">
        <ns0:f>IF($B33=FALSE,"не выбрана",IF($G$1="","нет маршрута",INDEX('ЖелдорАльянс'!AD$1:AD$2,$G$1)))</ns0:f>
        <ns0:v>не выбрана</ns0:v>
      </ns0:c>
      <ns0:c r="AE33" s="31" t="str">
        <ns0:f>IF($B33=FALSE,"не выбрана",IF($G$1="","нет маршрута",INDEX('ЖелдорАльянс'!AE$1:AE$2,$G$1)))</ns0:f>
        <ns0:v>не выбрана</ns0:v>
      </ns0:c>
      <ns0:c r="AF33" s="31" t="str">
        <ns0:f>IF($B33=FALSE,"не выбрана",IF($G$1="","нет маршрута",INDEX('ЖелдорАльянс'!AF$1:AF$2,$G$1)))</ns0:f>
        <ns0:v>не выбрана</ns0:v>
      </ns0:c>
      <ns0:c r="AG33" s="31" t="n"/>
      <ns0:c r="AH33" s="31" t="n"/>
      <ns0:c r="AI33" s="31" t="n"/>
      <ns0:c r="AJ33" s="31" t="n"/>
      <ns0:c r="AK33" s="31" t="n"/>
      <ns0:c r="AL33" s="31" t="n"/>
      <ns0:c r="AM33" s="31" t="n"/>
      <ns0:c r="AN33" s="31" t="n"/>
      <ns0:c r="AO33" s="31" t="n"/>
      <ns0:c r="AP33" s="31" t="n"/>
      <ns0:c r="AQ33" s="31" t="n"/>
      <ns0:c r="AR33" s="31" t="n"/>
      <ns0:c r="AS33" s="31" t="n"/>
      <ns0:c r="AT33" s="31" t="n"/>
      <ns0:c r="AU33" s="31" t="n"/>
      <ns0:c r="AV33" s="31" t="n"/>
      <ns0:c r="AW33" s="31" t="n"/>
      <ns0:c r="AX33" s="31" t="n"/>
      <ns0:c r="AY33" s="31" t="n"/>
      <ns0:c r="AZ33" s="31" t="n"/>
      <ns0:c r="BA33" s="31" t="n"/>
      <ns0:c r="BB33" s="31" t="n"/>
      <ns0:c r="BC33" s="31" t="n"/>
      <ns0:c r="BD33" s="31" t="n"/>
      <ns0:c r="BE33" s="31" t="n"/>
      <ns0:c r="BF33" s="31" t="n"/>
      <ns0:c r="BG33" s="31" t="n"/>
      <ns0:c r="BH33" s="31" t="n"/>
      <ns0:c r="BI33" s="31" t="n"/>
      <ns0:c r="BJ33" s="31" t="n"/>
      <ns0:c r="BK33" s="31" t="n"/>
    </ns0:row>
    <ns0:row r="34">
      <ns0:c r="A34" s="31" t="inlineStr">
        <ns0:is>
          <ns0:t>ЖелдорЭкспресс</ns0:t>
        </ns0:is>
      </ns0:c>
      <ns0:c r="B34" s="31" t="b">
        <ns0:f>'Графики'!C49</ns0:f>
        <ns0:v>0</ns0:v>
      </ns0:c>
      <ns0:c r="C34" s="31" t="n"/>
      <ns0:c r="D34" s="31" t="str">
        <ns0:f>IF($B34=FALSE,"не выбрана",IF($G$1="","нет маршрута",INDEX('ЖелдорЭкспресс'!D$1:D$2,$G$1)))</ns0:f>
        <ns0:v>не выбрана</ns0:v>
      </ns0:c>
      <ns0:c r="E34" s="31" t="str">
        <ns0:f>IF($B34=FALSE,"не выбрана",IF($G$1="","нет маршрута",INDEX('ЖелдорЭкспресс'!E$1:E$2,$G$1)))</ns0:f>
        <ns0:v>не выбрана</ns0:v>
      </ns0:c>
      <ns0:c r="F34" s="31" t="str">
        <ns0:f>IF($B34=FALSE,"не выбрана",IF($G$1="","нет маршрута",INDEX('ЖелдорЭкспресс'!F$1:F$2,$G$1)))</ns0:f>
        <ns0:v>не выбрана</ns0:v>
      </ns0:c>
      <ns0:c r="G34" s="31" t="str">
        <ns0:f>IF($B34=FALSE,"не выбрана",IF($G$1="","нет маршрута",INDEX('ЖелдорЭкспресс'!G$1:G$2,$G$1)))</ns0:f>
        <ns0:v>не выбрана</ns0:v>
      </ns0:c>
      <ns0:c r="H34" s="31" t="str">
        <ns0:f>IF($B34=FALSE,"не выбрана",IF($G$1="","нет маршрута",INDEX('ЖелдорЭкспресс'!H$1:H$2,$G$1)))</ns0:f>
        <ns0:v>не выбрана</ns0:v>
      </ns0:c>
      <ns0:c r="I34" s="31" t="str">
        <ns0:f>IF($B34=FALSE,"не выбрана",IF($G$1="","нет маршрута",INDEX('ЖелдорЭкспресс'!I$1:I$2,$G$1)))</ns0:f>
        <ns0:v>не выбрана</ns0:v>
      </ns0:c>
      <ns0:c r="J34" s="31" t="str">
        <ns0:f>IF($B34=FALSE,"не выбрана",IF($G$1="","нет маршрута",INDEX('ЖелдорЭкспресс'!J$1:J$2,$G$1)))</ns0:f>
        <ns0:v>не выбрана</ns0:v>
      </ns0:c>
      <ns0:c r="K34" s="31" t="str">
        <ns0:f>IF($B34=FALSE,"не выбрана",IF($G$1="","нет маршрута",INDEX('ЖелдорЭкспресс'!K$1:K$2,$G$1)))</ns0:f>
        <ns0:v>не выбрана</ns0:v>
      </ns0:c>
      <ns0:c r="L34" s="31" t="str">
        <ns0:f>IF($B34=FALSE,"не выбрана",IF($G$1="","нет маршрута",INDEX('ЖелдорЭкспресс'!L$1:L$2,$G$1)))</ns0:f>
        <ns0:v>не выбрана</ns0:v>
      </ns0:c>
      <ns0:c r="M34" s="31" t="str">
        <ns0:f>IF($B34=FALSE,"не выбрана",IF($G$1="","нет маршрута",INDEX('ЖелдорЭкспресс'!M$1:M$2,$G$1)))</ns0:f>
        <ns0:v>не выбрана</ns0:v>
      </ns0:c>
      <ns0:c r="N34" s="31" t="str">
        <ns0:f>IF($B34=FALSE,"не выбрана",IF($G$1="","нет маршрута",INDEX('ЖелдорЭкспресс'!N$1:N$2,$G$1)))</ns0:f>
        <ns0:v>не выбрана</ns0:v>
      </ns0:c>
      <ns0:c r="O34" s="31" t="str">
        <ns0:f>IF($B34=FALSE,"не выбрана",IF($G$1="","нет маршрута",INDEX('ЖелдорЭкспресс'!O$1:O$2,$G$1)))</ns0:f>
        <ns0:v>не выбрана</ns0:v>
      </ns0:c>
      <ns0:c r="P34" s="31" t="str">
        <ns0:f>IF($B34=FALSE,"не выбрана",IF($G$1="","нет маршрута",INDEX('ЖелдорЭкспресс'!P$1:P$2,$G$1)))</ns0:f>
        <ns0:v>не выбрана</ns0:v>
      </ns0:c>
      <ns0:c r="Q34" s="31" t="str">
        <ns0:f>IF($B34=FALSE,"не выбрана",IF($G$1="","нет маршрута",INDEX('ЖелдорЭкспресс'!Q$1:Q$2,$G$1)))</ns0:f>
        <ns0:v>не выбрана</ns0:v>
      </ns0:c>
      <ns0:c r="R34" s="31" t="str">
        <ns0:f>IF($B34=FALSE,"не выбрана",IF($G$1="","нет маршрута",INDEX('ЖелдорЭкспресс'!R$1:R$2,$G$1)))</ns0:f>
        <ns0:v>не выбрана</ns0:v>
      </ns0:c>
      <ns0:c r="S34" s="31" t="str">
        <ns0:f>IF($B34=FALSE,"не выбрана",IF($G$1="","нет маршрута",INDEX('ЖелдорЭкспресс'!S$1:S$2,$G$1)))</ns0:f>
        <ns0:v>не выбрана</ns0:v>
      </ns0:c>
      <ns0:c r="T34" s="31" t="str">
        <ns0:f>IF($B34=FALSE,"не выбрана",IF($G$1="","нет маршрута",INDEX('ЖелдорЭкспресс'!T$1:T$2,$G$1)))</ns0:f>
        <ns0:v>не выбрана</ns0:v>
      </ns0:c>
      <ns0:c r="U34" s="31" t="str">
        <ns0:f>IF($B34=FALSE,"не выбрана",IF($G$1="","нет маршрута",INDEX('ЖелдорЭкспресс'!U$1:U$2,$G$1)))</ns0:f>
        <ns0:v>не выбрана</ns0:v>
      </ns0:c>
      <ns0:c r="V34" s="31" t="str">
        <ns0:f>IF($B34=FALSE,"не выбрана",IF($G$1="","нет маршрута",INDEX('ЖелдорЭкспресс'!V$1:V$2,$G$1)))</ns0:f>
        <ns0:v>не выбрана</ns0:v>
      </ns0:c>
      <ns0:c r="W34" s="31" t="str">
        <ns0:f>IF($B34=FALSE,"не выбрана",IF($G$1="","нет маршрута",INDEX('ЖелдорЭкспресс'!W$1:W$2,$G$1)))</ns0:f>
        <ns0:v>не выбрана</ns0:v>
      </ns0:c>
      <ns0:c r="X34" s="31" t="str">
        <ns0:f>IF($B34=FALSE,"не выбрана",IF($G$1="","нет маршрута",INDEX('ЖелдорЭкспресс'!X$1:X$2,$G$1)))</ns0:f>
        <ns0:v>не выбрана</ns0:v>
      </ns0:c>
      <ns0:c r="Y34" s="31" t="str">
        <ns0:f>IF($B34=FALSE,"не выбрана",IF($G$1="","нет маршрута",INDEX('ЖелдорЭкспресс'!Y$1:Y$2,$G$1)))</ns0:f>
        <ns0:v>не выбрана</ns0:v>
      </ns0:c>
      <ns0:c r="Z34" s="31" t="str">
        <ns0:f>IF($B34=FALSE,"не выбрана",IF($G$1="","нет маршрута",INDEX('ЖелдорЭкспресс'!Z$1:Z$2,$G$1)))</ns0:f>
        <ns0:v>не выбрана</ns0:v>
      </ns0:c>
      <ns0:c r="AA34" s="31" t="str">
        <ns0:f>IF($B34=FALSE,"не выбрана",IF($G$1="","нет маршрута",INDEX('ЖелдорЭкспресс'!AA$1:AA$2,$G$1)))</ns0:f>
        <ns0:v>не выбрана</ns0:v>
      </ns0:c>
      <ns0:c r="AB34" s="31" t="str">
        <ns0:f>IF($B34=FALSE,"не выбрана",IF($G$1="","нет маршрута",INDEX('ЖелдорЭкспресс'!AB$1:AB$2,$G$1)))</ns0:f>
        <ns0:v>не выбрана</ns0:v>
      </ns0:c>
      <ns0:c r="AC34" s="31" t="str">
        <ns0:f>IF($B34=FALSE,"не выбрана",IF($G$1="","нет маршрута",INDEX('ЖелдорЭкспресс'!AC$1:AC$2,$G$1)))</ns0:f>
        <ns0:v>не выбрана</ns0:v>
      </ns0:c>
      <ns0:c r="AD34" s="31" t="str">
        <ns0:f>IF($B34=FALSE,"не выбрана",IF($G$1="","нет маршрута",INDEX('ЖелдорЭкспресс'!AD$1:AD$2,$G$1)))</ns0:f>
        <ns0:v>не выбрана</ns0:v>
      </ns0:c>
      <ns0:c r="AE34" s="31" t="str">
        <ns0:f>IF($B34=FALSE,"не выбрана",IF($G$1="","нет маршрута",INDEX('ЖелдорЭкспресс'!AE$1:AE$2,$G$1)))</ns0:f>
        <ns0:v>не выбрана</ns0:v>
      </ns0:c>
      <ns0:c r="AF34" s="31" t="str">
        <ns0:f>IF($B34=FALSE,"не выбрана",IF($G$1="","нет маршрута",INDEX('ЖелдорЭкспресс'!AF$1:AF$2,$G$1)))</ns0:f>
        <ns0:v>не выбрана</ns0:v>
      </ns0:c>
      <ns0:c r="AG34" s="31" t="n"/>
      <ns0:c r="AH34" s="31" t="n"/>
      <ns0:c r="AI34" s="31" t="n"/>
      <ns0:c r="AJ34" s="31" t="n"/>
      <ns0:c r="AK34" s="31" t="n"/>
      <ns0:c r="AL34" s="31" t="n"/>
      <ns0:c r="AM34" s="31" t="n"/>
      <ns0:c r="AN34" s="31" t="n"/>
      <ns0:c r="AO34" s="31" t="n"/>
      <ns0:c r="AP34" s="31" t="n"/>
      <ns0:c r="AQ34" s="31" t="n"/>
      <ns0:c r="AR34" s="31" t="n"/>
      <ns0:c r="AS34" s="31" t="n"/>
      <ns0:c r="AT34" s="31" t="n"/>
      <ns0:c r="AU34" s="31" t="n"/>
      <ns0:c r="AV34" s="31" t="n"/>
      <ns0:c r="AW34" s="31" t="n"/>
      <ns0:c r="AX34" s="31" t="n"/>
      <ns0:c r="AY34" s="31" t="n"/>
      <ns0:c r="AZ34" s="31" t="n"/>
      <ns0:c r="BA34" s="31" t="n"/>
      <ns0:c r="BB34" s="31" t="n"/>
      <ns0:c r="BC34" s="31" t="n"/>
      <ns0:c r="BD34" s="31" t="n"/>
      <ns0:c r="BE34" s="31" t="n"/>
      <ns0:c r="BF34" s="31" t="n"/>
      <ns0:c r="BG34" s="31" t="n"/>
      <ns0:c r="BH34" s="31" t="n"/>
      <ns0:c r="BI34" s="31" t="n"/>
      <ns0:c r="BJ34" s="31" t="n"/>
      <ns0:c r="BK34" s="31" t="n"/>
    </ns0:row>
    <ns0:row r="35">
      <ns0:c r="A35" s="31" t="inlineStr">
        <ns0:is>
          <ns0:t>МТК авто</ns0:t>
        </ns0:is>
      </ns0:c>
      <ns0:c r="B35" s="31" t="b">
        <ns0:f>'Графики'!C50</ns0:f>
        <ns0:v>0</ns0:v>
      </ns0:c>
      <ns0:c r="C35" s="31" t="n"/>
      <ns0:c r="D35" s="31" t="str">
        <ns0:f>IF($B35=FALSE,"не выбрана",IF($G$1="","нет маршрута",INDEX('МТК авто'!D$1:D$2,$G$1)))</ns0:f>
        <ns0:v>не выбрана</ns0:v>
      </ns0:c>
      <ns0:c r="E35" s="31" t="str">
        <ns0:f>IF($B35=FALSE,"не выбрана",IF($G$1="","нет маршрута",INDEX('МТК авто'!E$1:E$2,$G$1)))</ns0:f>
        <ns0:v>не выбрана</ns0:v>
      </ns0:c>
      <ns0:c r="F35" s="31" t="str">
        <ns0:f>IF($B35=FALSE,"не выбрана",IF($G$1="","нет маршрута",INDEX('МТК авто'!F$1:F$2,$G$1)))</ns0:f>
        <ns0:v>не выбрана</ns0:v>
      </ns0:c>
      <ns0:c r="G35" s="31" t="str">
        <ns0:f>IF($B35=FALSE,"не выбрана",IF($G$1="","нет маршрута",INDEX('МТК авто'!G$1:G$2,$G$1)))</ns0:f>
        <ns0:v>не выбрана</ns0:v>
      </ns0:c>
      <ns0:c r="H35" s="31" t="str">
        <ns0:f>IF($B35=FALSE,"не выбрана",IF($G$1="","нет маршрута",INDEX('МТК авто'!H$1:H$2,$G$1)))</ns0:f>
        <ns0:v>не выбрана</ns0:v>
      </ns0:c>
      <ns0:c r="I35" s="31" t="str">
        <ns0:f>IF($B35=FALSE,"не выбрана",IF($G$1="","нет маршрута",INDEX('МТК авто'!I$1:I$2,$G$1)))</ns0:f>
        <ns0:v>не выбрана</ns0:v>
      </ns0:c>
      <ns0:c r="J35" s="31" t="str">
        <ns0:f>IF($B35=FALSE,"не выбрана",IF($G$1="","нет маршрута",INDEX('МТК авто'!J$1:J$2,$G$1)))</ns0:f>
        <ns0:v>не выбрана</ns0:v>
      </ns0:c>
      <ns0:c r="K35" s="31" t="str">
        <ns0:f>IF($B35=FALSE,"не выбрана",IF($G$1="","нет маршрута",INDEX('МТК авто'!K$1:K$2,$G$1)))</ns0:f>
        <ns0:v>не выбрана</ns0:v>
      </ns0:c>
      <ns0:c r="L35" s="31" t="str">
        <ns0:f>IF($B35=FALSE,"не выбрана",IF($G$1="","нет маршрута",INDEX('МТК авто'!L$1:L$2,$G$1)))</ns0:f>
        <ns0:v>не выбрана</ns0:v>
      </ns0:c>
      <ns0:c r="M35" s="31" t="str">
        <ns0:f>IF($B35=FALSE,"не выбрана",IF($G$1="","нет маршрута",INDEX('МТК авто'!M$1:M$2,$G$1)))</ns0:f>
        <ns0:v>не выбрана</ns0:v>
      </ns0:c>
      <ns0:c r="N35" s="31" t="str">
        <ns0:f>IF($B35=FALSE,"не выбрана",IF($G$1="","нет маршрута",INDEX('МТК авто'!N$1:N$2,$G$1)))</ns0:f>
        <ns0:v>не выбрана</ns0:v>
      </ns0:c>
      <ns0:c r="O35" s="31" t="str">
        <ns0:f>IF($B35=FALSE,"не выбрана",IF($G$1="","нет маршрута",INDEX('МТК авто'!O$1:O$2,$G$1)))</ns0:f>
        <ns0:v>не выбрана</ns0:v>
      </ns0:c>
      <ns0:c r="P35" s="31" t="str">
        <ns0:f>IF($B35=FALSE,"не выбрана",IF($G$1="","нет маршрута",INDEX('МТК авто'!P$1:P$2,$G$1)))</ns0:f>
        <ns0:v>не выбрана</ns0:v>
      </ns0:c>
      <ns0:c r="Q35" s="31" t="str">
        <ns0:f>IF($B35=FALSE,"не выбрана",IF($G$1="","нет маршрута",INDEX('МТК авто'!Q$1:Q$2,$G$1)))</ns0:f>
        <ns0:v>не выбрана</ns0:v>
      </ns0:c>
      <ns0:c r="R35" s="31" t="str">
        <ns0:f>IF($B35=FALSE,"не выбрана",IF($G$1="","нет маршрута",INDEX('МТК авто'!R$1:R$2,$G$1)))</ns0:f>
        <ns0:v>не выбрана</ns0:v>
      </ns0:c>
      <ns0:c r="S35" s="31" t="str">
        <ns0:f>IF($B35=FALSE,"не выбрана",IF($G$1="","нет маршрута",INDEX('МТК авто'!S$1:S$2,$G$1)))</ns0:f>
        <ns0:v>не выбрана</ns0:v>
      </ns0:c>
      <ns0:c r="T35" s="31" t="str">
        <ns0:f>IF($B35=FALSE,"не выбрана",IF($G$1="","нет маршрута",INDEX('МТК авто'!T$1:T$2,$G$1)))</ns0:f>
        <ns0:v>не выбрана</ns0:v>
      </ns0:c>
      <ns0:c r="U35" s="31" t="str">
        <ns0:f>IF($B35=FALSE,"не выбрана",IF($G$1="","нет маршрута",INDEX('МТК авто'!U$1:U$2,$G$1)))</ns0:f>
        <ns0:v>не выбрана</ns0:v>
      </ns0:c>
      <ns0:c r="V35" s="31" t="str">
        <ns0:f>IF($B35=FALSE,"не выбрана",IF($G$1="","нет маршрута",INDEX('МТК авто'!V$1:V$2,$G$1)))</ns0:f>
        <ns0:v>не выбрана</ns0:v>
      </ns0:c>
      <ns0:c r="W35" s="31" t="str">
        <ns0:f>IF($B35=FALSE,"не выбрана",IF($G$1="","нет маршрута",INDEX('МТК авто'!W$1:W$2,$G$1)))</ns0:f>
        <ns0:v>не выбрана</ns0:v>
      </ns0:c>
      <ns0:c r="X35" s="31" t="str">
        <ns0:f>IF($B35=FALSE,"не выбрана",IF($G$1="","нет маршрута",INDEX('МТК авто'!X$1:X$2,$G$1)))</ns0:f>
        <ns0:v>не выбрана</ns0:v>
      </ns0:c>
      <ns0:c r="Y35" s="31" t="str">
        <ns0:f>IF($B35=FALSE,"не выбрана",IF($G$1="","нет маршрута",INDEX('МТК авто'!Y$1:Y$2,$G$1)))</ns0:f>
        <ns0:v>не выбрана</ns0:v>
      </ns0:c>
      <ns0:c r="Z35" s="31" t="str">
        <ns0:f>IF($B35=FALSE,"не выбрана",IF($G$1="","нет маршрута",INDEX('МТК авто'!Z$1:Z$2,$G$1)))</ns0:f>
        <ns0:v>не выбрана</ns0:v>
      </ns0:c>
      <ns0:c r="AA35" s="31" t="str">
        <ns0:f>IF($B35=FALSE,"не выбрана",IF($G$1="","нет маршрута",INDEX('МТК авто'!AA$1:AA$2,$G$1)))</ns0:f>
        <ns0:v>не выбрана</ns0:v>
      </ns0:c>
      <ns0:c r="AB35" s="31" t="str">
        <ns0:f>IF($B35=FALSE,"не выбрана",IF($G$1="","нет маршрута",INDEX('МТК авто'!AB$1:AB$2,$G$1)))</ns0:f>
        <ns0:v>не выбрана</ns0:v>
      </ns0:c>
      <ns0:c r="AC35" s="31" t="str">
        <ns0:f>IF($B35=FALSE,"не выбрана",IF($G$1="","нет маршрута",INDEX('МТК авто'!AC$1:AC$2,$G$1)))</ns0:f>
        <ns0:v>не выбрана</ns0:v>
      </ns0:c>
      <ns0:c r="AD35" s="31" t="str">
        <ns0:f>IF($B35=FALSE,"не выбрана",IF($G$1="","нет маршрута",INDEX('МТК авто'!AD$1:AD$2,$G$1)))</ns0:f>
        <ns0:v>не выбрана</ns0:v>
      </ns0:c>
      <ns0:c r="AE35" s="31" t="str">
        <ns0:f>IF($B35=FALSE,"не выбрана",IF($G$1="","нет маршрута",INDEX('МТК авто'!AE$1:AE$2,$G$1)))</ns0:f>
        <ns0:v>не выбрана</ns0:v>
      </ns0:c>
      <ns0:c r="AF35" s="31" t="str">
        <ns0:f>IF($B35=FALSE,"не выбрана",IF($G$1="","нет маршрута",INDEX('МТК авто'!AF$1:AF$2,$G$1)))</ns0:f>
        <ns0:v>не выбрана</ns0:v>
      </ns0:c>
      <ns0:c r="AG35" s="31" t="n"/>
      <ns0:c r="AH35" s="31" t="n"/>
      <ns0:c r="AI35" s="31" t="n"/>
      <ns0:c r="AJ35" s="31" t="n"/>
      <ns0:c r="AK35" s="31" t="n"/>
      <ns0:c r="AL35" s="31" t="n"/>
      <ns0:c r="AM35" s="31" t="n"/>
      <ns0:c r="AN35" s="31" t="n"/>
      <ns0:c r="AO35" s="31" t="n"/>
      <ns0:c r="AP35" s="31" t="n"/>
      <ns0:c r="AQ35" s="31" t="n"/>
      <ns0:c r="AR35" s="31" t="n"/>
      <ns0:c r="AS35" s="31" t="n"/>
      <ns0:c r="AT35" s="31" t="n"/>
      <ns0:c r="AU35" s="31" t="n"/>
      <ns0:c r="AV35" s="31" t="n"/>
      <ns0:c r="AW35" s="31" t="n"/>
      <ns0:c r="AX35" s="31" t="n"/>
      <ns0:c r="AY35" s="31" t="n"/>
      <ns0:c r="AZ35" s="31" t="n"/>
      <ns0:c r="BA35" s="31" t="n"/>
      <ns0:c r="BB35" s="31" t="n"/>
      <ns0:c r="BC35" s="31" t="n"/>
      <ns0:c r="BD35" s="31" t="n"/>
      <ns0:c r="BE35" s="31" t="n"/>
      <ns0:c r="BF35" s="31" t="n"/>
      <ns0:c r="BG35" s="31" t="n"/>
      <ns0:c r="BH35" s="31" t="n"/>
      <ns0:c r="BI35" s="31" t="n"/>
      <ns0:c r="BJ35" s="31" t="n"/>
      <ns0:c r="BK35" s="31" t="n"/>
    </ns0:row>
    <ns0:row r="36">
      <ns0:c r="A36" s="31" t="inlineStr">
        <ns0:is>
          <ns0:t>МТК жд</ns0:t>
        </ns0:is>
      </ns0:c>
      <ns0:c r="B36" s="31" t="b">
        <ns0:f>'Графики'!C51</ns0:f>
        <ns0:v>0</ns0:v>
      </ns0:c>
      <ns0:c r="C36" s="31" t="n"/>
      <ns0:c r="D36" s="31" t="str">
        <ns0:f>IF($B36=FALSE,"не выбрана",IF($G$1="","нет маршрута",INDEX('МТК жд'!D$1:D$2,$G$1)))</ns0:f>
        <ns0:v>не выбрана</ns0:v>
      </ns0:c>
      <ns0:c r="E36" s="31" t="str">
        <ns0:f>IF($B36=FALSE,"не выбрана",IF($G$1="","нет маршрута",INDEX('МТК жд'!E$1:E$2,$G$1)))</ns0:f>
        <ns0:v>не выбрана</ns0:v>
      </ns0:c>
      <ns0:c r="F36" s="31" t="str">
        <ns0:f>IF($B36=FALSE,"не выбрана",IF($G$1="","нет маршрута",INDEX('МТК жд'!F$1:F$2,$G$1)))</ns0:f>
        <ns0:v>не выбрана</ns0:v>
      </ns0:c>
      <ns0:c r="G36" s="31" t="str">
        <ns0:f>IF($B36=FALSE,"не выбрана",IF($G$1="","нет маршрута",INDEX('МТК жд'!G$1:G$2,$G$1)))</ns0:f>
        <ns0:v>не выбрана</ns0:v>
      </ns0:c>
      <ns0:c r="H36" s="31" t="str">
        <ns0:f>IF($B36=FALSE,"не выбрана",IF($G$1="","нет маршрута",INDEX('МТК жд'!H$1:H$2,$G$1)))</ns0:f>
        <ns0:v>не выбрана</ns0:v>
      </ns0:c>
      <ns0:c r="I36" s="31" t="str">
        <ns0:f>IF($B36=FALSE,"не выбрана",IF($G$1="","нет маршрута",INDEX('МТК жд'!I$1:I$2,$G$1)))</ns0:f>
        <ns0:v>не выбрана</ns0:v>
      </ns0:c>
      <ns0:c r="J36" s="31" t="str">
        <ns0:f>IF($B36=FALSE,"не выбрана",IF($G$1="","нет маршрута",INDEX('МТК жд'!J$1:J$2,$G$1)))</ns0:f>
        <ns0:v>не выбрана</ns0:v>
      </ns0:c>
      <ns0:c r="K36" s="31" t="str">
        <ns0:f>IF($B36=FALSE,"не выбрана",IF($G$1="","нет маршрута",INDEX('МТК жд'!K$1:K$2,$G$1)))</ns0:f>
        <ns0:v>не выбрана</ns0:v>
      </ns0:c>
      <ns0:c r="L36" s="31" t="str">
        <ns0:f>IF($B36=FALSE,"не выбрана",IF($G$1="","нет маршрута",INDEX('МТК жд'!L$1:L$2,$G$1)))</ns0:f>
        <ns0:v>не выбрана</ns0:v>
      </ns0:c>
      <ns0:c r="M36" s="31" t="str">
        <ns0:f>IF($B36=FALSE,"не выбрана",IF($G$1="","нет маршрута",INDEX('МТК жд'!M$1:M$2,$G$1)))</ns0:f>
        <ns0:v>не выбрана</ns0:v>
      </ns0:c>
      <ns0:c r="N36" s="31" t="str">
        <ns0:f>IF($B36=FALSE,"не выбрана",IF($G$1="","нет маршрута",INDEX('МТК жд'!N$1:N$2,$G$1)))</ns0:f>
        <ns0:v>не выбрана</ns0:v>
      </ns0:c>
      <ns0:c r="O36" s="31" t="str">
        <ns0:f>IF($B36=FALSE,"не выбрана",IF($G$1="","нет маршрута",INDEX('МТК жд'!O$1:O$2,$G$1)))</ns0:f>
        <ns0:v>не выбрана</ns0:v>
      </ns0:c>
      <ns0:c r="P36" s="31" t="str">
        <ns0:f>IF($B36=FALSE,"не выбрана",IF($G$1="","нет маршрута",INDEX('МТК жд'!P$1:P$2,$G$1)))</ns0:f>
        <ns0:v>не выбрана</ns0:v>
      </ns0:c>
      <ns0:c r="Q36" s="31" t="str">
        <ns0:f>IF($B36=FALSE,"не выбрана",IF($G$1="","нет маршрута",INDEX('МТК жд'!Q$1:Q$2,$G$1)))</ns0:f>
        <ns0:v>не выбрана</ns0:v>
      </ns0:c>
      <ns0:c r="R36" s="31" t="str">
        <ns0:f>IF($B36=FALSE,"не выбрана",IF($G$1="","нет маршрута",INDEX('МТК жд'!R$1:R$2,$G$1)))</ns0:f>
        <ns0:v>не выбрана</ns0:v>
      </ns0:c>
      <ns0:c r="S36" s="31" t="str">
        <ns0:f>IF($B36=FALSE,"не выбрана",IF($G$1="","нет маршрута",INDEX('МТК жд'!S$1:S$2,$G$1)))</ns0:f>
        <ns0:v>не выбрана</ns0:v>
      </ns0:c>
      <ns0:c r="T36" s="31" t="str">
        <ns0:f>IF($B36=FALSE,"не выбрана",IF($G$1="","нет маршрута",INDEX('МТК жд'!T$1:T$2,$G$1)))</ns0:f>
        <ns0:v>не выбрана</ns0:v>
      </ns0:c>
      <ns0:c r="U36" s="31" t="str">
        <ns0:f>IF($B36=FALSE,"не выбрана",IF($G$1="","нет маршрута",INDEX('МТК жд'!U$1:U$2,$G$1)))</ns0:f>
        <ns0:v>не выбрана</ns0:v>
      </ns0:c>
      <ns0:c r="V36" s="31" t="str">
        <ns0:f>IF($B36=FALSE,"не выбрана",IF($G$1="","нет маршрута",INDEX('МТК жд'!V$1:V$2,$G$1)))</ns0:f>
        <ns0:v>не выбрана</ns0:v>
      </ns0:c>
      <ns0:c r="W36" s="31" t="str">
        <ns0:f>IF($B36=FALSE,"не выбрана",IF($G$1="","нет маршрута",INDEX('МТК жд'!W$1:W$2,$G$1)))</ns0:f>
        <ns0:v>не выбрана</ns0:v>
      </ns0:c>
      <ns0:c r="X36" s="31" t="str">
        <ns0:f>IF($B36=FALSE,"не выбрана",IF($G$1="","нет маршрута",INDEX('МТК жд'!X$1:X$2,$G$1)))</ns0:f>
        <ns0:v>не выбрана</ns0:v>
      </ns0:c>
      <ns0:c r="Y36" s="31" t="str">
        <ns0:f>IF($B36=FALSE,"не выбрана",IF($G$1="","нет маршрута",INDEX('МТК жд'!Y$1:Y$2,$G$1)))</ns0:f>
        <ns0:v>не выбрана</ns0:v>
      </ns0:c>
      <ns0:c r="Z36" s="31" t="str">
        <ns0:f>IF($B36=FALSE,"не выбрана",IF($G$1="","нет маршрута",INDEX('МТК жд'!Z$1:Z$2,$G$1)))</ns0:f>
        <ns0:v>не выбрана</ns0:v>
      </ns0:c>
      <ns0:c r="AA36" s="31" t="str">
        <ns0:f>IF($B36=FALSE,"не выбрана",IF($G$1="","нет маршрута",INDEX('МТК жд'!AA$1:AA$2,$G$1)))</ns0:f>
        <ns0:v>не выбрана</ns0:v>
      </ns0:c>
      <ns0:c r="AB36" s="31" t="str">
        <ns0:f>IF($B36=FALSE,"не выбрана",IF($G$1="","нет маршрута",INDEX('МТК жд'!AB$1:AB$2,$G$1)))</ns0:f>
        <ns0:v>не выбрана</ns0:v>
      </ns0:c>
      <ns0:c r="AC36" s="31" t="str">
        <ns0:f>IF($B36=FALSE,"не выбрана",IF($G$1="","нет маршрута",INDEX('МТК жд'!AC$1:AC$2,$G$1)))</ns0:f>
        <ns0:v>не выбрана</ns0:v>
      </ns0:c>
      <ns0:c r="AD36" s="31" t="str">
        <ns0:f>IF($B36=FALSE,"не выбрана",IF($G$1="","нет маршрута",INDEX('МТК жд'!AD$1:AD$2,$G$1)))</ns0:f>
        <ns0:v>не выбрана</ns0:v>
      </ns0:c>
      <ns0:c r="AE36" s="31" t="str">
        <ns0:f>IF($B36=FALSE,"не выбрана",IF($G$1="","нет маршрута",INDEX('МТК жд'!AE$1:AE$2,$G$1)))</ns0:f>
        <ns0:v>не выбрана</ns0:v>
      </ns0:c>
      <ns0:c r="AF36" s="31" t="str">
        <ns0:f>IF($B36=FALSE,"не выбрана",IF($G$1="","нет маршрута",INDEX('МТК жд'!AF$1:AF$2,$G$1)))</ns0:f>
        <ns0:v>не выбрана</ns0:v>
      </ns0:c>
      <ns0:c r="AG36" s="31" t="n"/>
      <ns0:c r="AH36" s="31" t="n"/>
      <ns0:c r="AI36" s="31" t="n"/>
      <ns0:c r="AJ36" s="31" t="n"/>
      <ns0:c r="AK36" s="31" t="n"/>
      <ns0:c r="AL36" s="31" t="n"/>
      <ns0:c r="AM36" s="31" t="n"/>
      <ns0:c r="AN36" s="31" t="n"/>
      <ns0:c r="AO36" s="31" t="n"/>
      <ns0:c r="AP36" s="31" t="n"/>
      <ns0:c r="AQ36" s="31" t="n"/>
      <ns0:c r="AR36" s="31" t="n"/>
      <ns0:c r="AS36" s="31" t="n"/>
      <ns0:c r="AT36" s="31" t="n"/>
      <ns0:c r="AU36" s="31" t="n"/>
      <ns0:c r="AV36" s="31" t="n"/>
      <ns0:c r="AW36" s="31" t="n"/>
      <ns0:c r="AX36" s="31" t="n"/>
      <ns0:c r="AY36" s="31" t="n"/>
      <ns0:c r="AZ36" s="31" t="n"/>
      <ns0:c r="BA36" s="31" t="n"/>
      <ns0:c r="BB36" s="31" t="n"/>
      <ns0:c r="BC36" s="31" t="n"/>
      <ns0:c r="BD36" s="31" t="n"/>
      <ns0:c r="BE36" s="31" t="n"/>
      <ns0:c r="BF36" s="31" t="n"/>
      <ns0:c r="BG36" s="31" t="n"/>
      <ns0:c r="BH36" s="31" t="n"/>
      <ns0:c r="BI36" s="31" t="n"/>
      <ns0:c r="BJ36" s="31" t="n"/>
      <ns0:c r="BK36" s="31" t="n"/>
    </ns0:row>
    <ns0:row r="37">
      <ns0:c r="A37" s="31" t="inlineStr">
        <ns0:is>
          <ns0:t>Байкал Сервис</ns0:t>
        </ns0:is>
      </ns0:c>
      <ns0:c r="B37" s="31" t="b">
        <ns0:f>'Графики'!C52</ns0:f>
        <ns0:v>1</ns0:v>
      </ns0:c>
      <ns0:c r="C37" s="31" t="n"/>
      <ns0:c r="D37" s="31" t="str">
        <ns0:f>IF($B37=FALSE,"не выбрана",IF($G$1="","нет маршрута",INDEX('Байкал Сервис'!D$1:D$2,$G$1)))</ns0:f>
        <ns0:v>нет данных</ns0:v>
      </ns0:c>
      <ns0:c r="E37" s="31" t="str">
        <ns0:f>IF($B37=FALSE,"не выбрана",IF($G$1="","нет маршрута",INDEX('Байкал Сервис'!E$1:E$2,$G$1)))</ns0:f>
        <ns0:v>нет данных</ns0:v>
      </ns0:c>
      <ns0:c r="F37" s="31" t="str">
        <ns0:f>IF($B37=FALSE,"не выбрана",IF($G$1="","нет маршрута",INDEX('Байкал Сервис'!F$1:F$2,$G$1)))</ns0:f>
        <ns0:v>нет данных</ns0:v>
      </ns0:c>
      <ns0:c r="G37" s="31" t="str">
        <ns0:f>IF($B37=FALSE,"не выбрана",IF($G$1="","нет маршрута",INDEX('Байкал Сервис'!G$1:G$2,$G$1)))</ns0:f>
        <ns0:v>нет данных</ns0:v>
      </ns0:c>
      <ns0:c r="H37" s="31" t="str">
        <ns0:f>IF($B37=FALSE,"не выбрана",IF($G$1="","нет маршрута",INDEX('Байкал Сервис'!H$1:H$2,$G$1)))</ns0:f>
        <ns0:v>нет данных</ns0:v>
      </ns0:c>
      <ns0:c r="I37" s="31" t="str">
        <ns0:f>IF($B37=FALSE,"не выбрана",IF($G$1="","нет маршрута",INDEX('Байкал Сервис'!I$1:I$2,$G$1)))</ns0:f>
        <ns0:v>нет данных</ns0:v>
      </ns0:c>
      <ns0:c r="J37" s="31" t="str">
        <ns0:f>IF($B37=FALSE,"не выбрана",IF($G$1="","нет маршрута",INDEX('Байкал Сервис'!J$1:J$2,$G$1)))</ns0:f>
        <ns0:v>нет данных</ns0:v>
      </ns0:c>
      <ns0:c r="K37" s="31" t="str">
        <ns0:f>IF($B37=FALSE,"не выбрана",IF($G$1="","нет маршрута",INDEX('Байкал Сервис'!K$1:K$2,$G$1)))</ns0:f>
        <ns0:v>нет данных</ns0:v>
      </ns0:c>
      <ns0:c r="L37" s="31" t="str">
        <ns0:f>IF($B37=FALSE,"не выбрана",IF($G$1="","нет маршрута",INDEX('Байкал Сервис'!L$1:L$2,$G$1)))</ns0:f>
        <ns0:v>нет данных</ns0:v>
      </ns0:c>
      <ns0:c r="M37" s="31">
        <ns0:f>IF($B37=FALSE,"не выбрана",IF($G$1="","нет маршрута",INDEX('Байкал Сервис'!M$1:M$2,$G$1)))</ns0:f>
        <ns0:v>564.0</ns0:v>
      </ns0:c>
      <ns0:c r="N37" s="31" t="str">
        <ns0:f>IF($B37=FALSE,"не выбрана",IF($G$1="","нет маршрута",INDEX('Байкал Сервис'!N$1:N$2,$G$1)))</ns0:f>
        <ns0:v>нет данных</ns0:v>
      </ns0:c>
      <ns0:c r="O37" s="31" t="str">
        <ns0:f>IF($B37=FALSE,"не выбрана",IF($G$1="","нет маршрута",INDEX('Байкал Сервис'!O$1:O$2,$G$1)))</ns0:f>
        <ns0:v>нет данных</ns0:v>
      </ns0:c>
      <ns0:c r="P37" s="31" t="str">
        <ns0:f>IF($B37=FALSE,"не выбрана",IF($G$1="","нет маршрута",INDEX('Байкал Сервис'!P$1:P$2,$G$1)))</ns0:f>
        <ns0:v>нет данных</ns0:v>
      </ns0:c>
      <ns0:c r="Q37" s="31" t="str">
        <ns0:f>IF($B37=FALSE,"не выбрана",IF($G$1="","нет маршрута",INDEX('Байкал Сервис'!Q$1:Q$2,$G$1)))</ns0:f>
        <ns0:v>нет данных</ns0:v>
      </ns0:c>
      <ns0:c r="R37" s="31" t="str">
        <ns0:f>IF($B37=FALSE,"не выбрана",IF($G$1="","нет маршрута",INDEX('Байкал Сервис'!R$1:R$2,$G$1)))</ns0:f>
        <ns0:v>нет данных</ns0:v>
      </ns0:c>
      <ns0:c r="S37" s="31" t="str">
        <ns0:f>IF($B37=FALSE,"не выбрана",IF($G$1="","нет маршрута",INDEX('Байкал Сервис'!S$1:S$2,$G$1)))</ns0:f>
        <ns0:v>нет данных</ns0:v>
      </ns0:c>
      <ns0:c r="T37" s="31" t="str">
        <ns0:f>IF($B37=FALSE,"не выбрана",IF($G$1="","нет маршрута",INDEX('Байкал Сервис'!T$1:T$2,$G$1)))</ns0:f>
        <ns0:v>нет данных</ns0:v>
      </ns0:c>
      <ns0:c r="U37" s="31" t="str">
        <ns0:f>IF($B37=FALSE,"не выбрана",IF($G$1="","нет маршрута",INDEX('Байкал Сервис'!U$1:U$2,$G$1)))</ns0:f>
        <ns0:v>нет данных</ns0:v>
      </ns0:c>
      <ns0:c r="V37" s="31" t="str">
        <ns0:f>IF($B37=FALSE,"не выбрана",IF($G$1="","нет маршрута",INDEX('Байкал Сервис'!V$1:V$2,$G$1)))</ns0:f>
        <ns0:v>нет данных</ns0:v>
      </ns0:c>
      <ns0:c r="W37" s="31" t="str">
        <ns0:f>IF($B37=FALSE,"не выбрана",IF($G$1="","нет маршрута",INDEX('Байкал Сервис'!W$1:W$2,$G$1)))</ns0:f>
        <ns0:v>нет данных</ns0:v>
      </ns0:c>
      <ns0:c r="X37" s="31" t="str">
        <ns0:f>IF($B37=FALSE,"не выбрана",IF($G$1="","нет маршрута",INDEX('Байкал Сервис'!X$1:X$2,$G$1)))</ns0:f>
        <ns0:v>нет данных</ns0:v>
      </ns0:c>
      <ns0:c r="Y37" s="31" t="str">
        <ns0:f>IF($B37=FALSE,"не выбрана",IF($G$1="","нет маршрута",INDEX('Байкал Сервис'!Y$1:Y$2,$G$1)))</ns0:f>
        <ns0:v>нет данных</ns0:v>
      </ns0:c>
      <ns0:c r="Z37" s="31" t="str">
        <ns0:f>IF($B37=FALSE,"не выбрана",IF($G$1="","нет маршрута",INDEX('Байкал Сервис'!Z$1:Z$2,$G$1)))</ns0:f>
        <ns0:v>нет данных</ns0:v>
      </ns0:c>
      <ns0:c r="AA37" s="31" t="str">
        <ns0:f>IF($B37=FALSE,"не выбрана",IF($G$1="","нет маршрута",INDEX('Байкал Сервис'!AA$1:AA$2,$G$1)))</ns0:f>
        <ns0:v>нет данных</ns0:v>
      </ns0:c>
      <ns0:c r="AB37" s="31" t="str">
        <ns0:f>IF($B37=FALSE,"не выбрана",IF($G$1="","нет маршрута",INDEX('Байкал Сервис'!AB$1:AB$2,$G$1)))</ns0:f>
        <ns0:v>нет данных</ns0:v>
      </ns0:c>
      <ns0:c r="AC37" s="31" t="str">
        <ns0:f>IF($B37=FALSE,"не выбрана",IF($G$1="","нет маршрута",INDEX('Байкал Сервис'!AC$1:AC$2,$G$1)))</ns0:f>
        <ns0:v>нет данных</ns0:v>
      </ns0:c>
      <ns0:c r="AD37" s="31" t="str">
        <ns0:f>IF($B37=FALSE,"не выбрана",IF($G$1="","нет маршрута",INDEX('Байкал Сервис'!AD$1:AD$2,$G$1)))</ns0:f>
        <ns0:v>нет данных</ns0:v>
      </ns0:c>
      <ns0:c r="AE37" s="31" t="str">
        <ns0:f>IF($B37=FALSE,"не выбрана",IF($G$1="","нет маршрута",INDEX('Байкал Сервис'!AE$1:AE$2,$G$1)))</ns0:f>
        <ns0:v>нет данных</ns0:v>
      </ns0:c>
      <ns0:c r="AF37" s="31" t="str">
        <ns0:f>IF($B37=FALSE,"не выбрана",IF($G$1="","нет маршрута",INDEX('Байкал Сервис'!AF$1:AF$2,$G$1)))</ns0:f>
        <ns0:v>нет данных</ns0:v>
      </ns0:c>
      <ns0:c r="AG37" s="31" t="n"/>
      <ns0:c r="AH37" s="31" t="n"/>
      <ns0:c r="AI37" s="31" t="n"/>
      <ns0:c r="AJ37" s="31" t="n"/>
      <ns0:c r="AK37" s="31" t="n"/>
      <ns0:c r="AL37" s="31" t="n"/>
      <ns0:c r="AM37" s="31" t="n"/>
      <ns0:c r="AN37" s="31" t="n"/>
      <ns0:c r="AO37" s="31" t="n"/>
      <ns0:c r="AP37" s="31" t="n"/>
      <ns0:c r="AQ37" s="31" t="n"/>
      <ns0:c r="AR37" s="31" t="n"/>
      <ns0:c r="AS37" s="31" t="n"/>
      <ns0:c r="AT37" s="31" t="n"/>
      <ns0:c r="AU37" s="31" t="n"/>
      <ns0:c r="AV37" s="31" t="n"/>
      <ns0:c r="AW37" s="31" t="n"/>
      <ns0:c r="AX37" s="31" t="n"/>
      <ns0:c r="AY37" s="31" t="n"/>
      <ns0:c r="AZ37" s="31" t="n"/>
      <ns0:c r="BA37" s="31" t="n"/>
      <ns0:c r="BB37" s="31" t="n"/>
      <ns0:c r="BC37" s="31" t="n"/>
      <ns0:c r="BD37" s="31" t="n"/>
      <ns0:c r="BE37" s="31" t="n"/>
      <ns0:c r="BF37" s="31" t="n"/>
      <ns0:c r="BG37" s="31" t="n"/>
      <ns0:c r="BH37" s="31" t="n"/>
      <ns0:c r="BI37" s="31" t="n"/>
      <ns0:c r="BJ37" s="31" t="n"/>
      <ns0:c r="BK37" s="31" t="n"/>
    </ns0:row>
  </ns0:sheetData>
  <ns0:pageMargins left="0.7" right="0.7" top="0.75" bottom="0.75" header="0.3" footer="0.3"/>
  <ns0:pageSetup orientation="landscape" paperSize="8" fitToHeight="0" fitToWidth="1"/>
</ns0:worksheet>
</file>

<file path=xl/worksheets/sheet7.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WernerOld</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6" t="inlineStr">
        <is>
          <t>до 500</t>
        </is>
      </c>
      <c r="T1" s="29" t="inlineStr">
        <is>
          <t>до 600</t>
        </is>
      </c>
      <c r="U1" s="29" t="inlineStr">
        <is>
          <t>до 700</t>
        </is>
      </c>
      <c r="V1" s="29" t="inlineStr">
        <is>
          <t>до 750</t>
        </is>
      </c>
      <c r="W1" s="29" t="inlineStr">
        <is>
          <t>до 800</t>
        </is>
      </c>
      <c r="X1" s="6" t="inlineStr">
        <is>
          <t>до 1000</t>
        </is>
      </c>
      <c r="Y1" s="29" t="inlineStr">
        <is>
          <t>до 1200</t>
        </is>
      </c>
      <c r="Z1" s="29" t="inlineStr">
        <is>
          <t>до 1500</t>
        </is>
      </c>
      <c r="AA1" s="6" t="inlineStr">
        <is>
          <t>до 2000</t>
        </is>
      </c>
      <c r="AB1" s="29" t="inlineStr">
        <is>
          <t>до 2500</t>
        </is>
      </c>
      <c r="AC1" s="6" t="inlineStr">
        <is>
          <t>до 3000</t>
        </is>
      </c>
      <c r="AD1" s="29" t="inlineStr">
        <is>
          <t>до 5000</t>
        </is>
      </c>
      <c r="AE1" s="29" t="inlineStr">
        <is>
          <t>до 10000</t>
        </is>
      </c>
      <c r="AF1" s="6"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истории</t>
        </is>
      </c>
      <c r="E2" s="1" t="inlineStr">
        <is>
          <t>нет истории</t>
        </is>
      </c>
      <c r="F2" s="1" t="inlineStr">
        <is>
          <t>нет истории</t>
        </is>
      </c>
      <c r="G2" s="1" t="inlineStr">
        <is>
          <t>нет истории</t>
        </is>
      </c>
      <c r="H2" s="1" t="inlineStr">
        <is>
          <t>нет истории</t>
        </is>
      </c>
      <c r="I2" s="1" t="inlineStr">
        <is>
          <t>нет истории</t>
        </is>
      </c>
      <c r="J2" s="1" t="inlineStr">
        <is>
          <t>нет истории</t>
        </is>
      </c>
      <c r="K2" s="1" t="inlineStr">
        <is>
          <t>нет истории</t>
        </is>
      </c>
      <c r="L2" s="1" t="inlineStr">
        <is>
          <t>нет истории</t>
        </is>
      </c>
      <c r="M2" s="1" t="inlineStr">
        <is>
          <t>нет истории</t>
        </is>
      </c>
      <c r="N2" s="1" t="inlineStr">
        <is>
          <t>нет истории</t>
        </is>
      </c>
      <c r="O2" s="1" t="inlineStr">
        <is>
          <t>нет истории</t>
        </is>
      </c>
      <c r="P2" s="1" t="inlineStr">
        <is>
          <t>нет истории</t>
        </is>
      </c>
      <c r="Q2" s="1" t="inlineStr">
        <is>
          <t>нет истории</t>
        </is>
      </c>
      <c r="R2" s="1" t="inlineStr">
        <is>
          <t>нет истории</t>
        </is>
      </c>
      <c r="S2" s="1" t="inlineStr">
        <is>
          <t>нет истории</t>
        </is>
      </c>
      <c r="T2" s="1" t="inlineStr">
        <is>
          <t>нет истории</t>
        </is>
      </c>
      <c r="U2" s="1" t="inlineStr">
        <is>
          <t>нет истории</t>
        </is>
      </c>
      <c r="V2" s="1" t="inlineStr">
        <is>
          <t>нет истории</t>
        </is>
      </c>
      <c r="W2" s="1" t="inlineStr">
        <is>
          <t>нет истории</t>
        </is>
      </c>
      <c r="X2" s="1" t="inlineStr">
        <is>
          <t>нет истории</t>
        </is>
      </c>
      <c r="Y2" s="1" t="inlineStr">
        <is>
          <t>нет истории</t>
        </is>
      </c>
      <c r="Z2" s="1" t="inlineStr">
        <is>
          <t>нет истории</t>
        </is>
      </c>
      <c r="AA2" s="1" t="inlineStr">
        <is>
          <t>нет истории</t>
        </is>
      </c>
      <c r="AB2" s="1" t="inlineStr">
        <is>
          <t>нет истории</t>
        </is>
      </c>
      <c r="AC2" s="1" t="inlineStr">
        <is>
          <t>нет истории</t>
        </is>
      </c>
      <c r="AD2" s="1" t="inlineStr">
        <is>
          <t>нет истории</t>
        </is>
      </c>
      <c r="AE2" s="1" t="inlineStr">
        <is>
          <t>нет истории</t>
        </is>
      </c>
      <c r="AF2" s="1" t="inlineStr">
        <is>
          <t>нет истории</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8.xml><?xml version="1.0" encoding="utf-8"?>
<ns0:worksheet xmlns:ns0="http://schemas.openxmlformats.org/spreadsheetml/2006/main" xmlns:ns1="http://schemas.openxmlformats.org/officeDocument/2006/relationships">
  <ns0:sheetPr>
    <ns0:outlinePr summaryBelow="1" summaryRight="1"/>
    <ns0:pageSetUpPr fitToPage="1"/>
  </ns0:sheetPr>
  <ns0:dimension ref="A1:BL56"/>
  <ns0:sheetViews>
    <ns0:sheetView showGridLines="0" workbookViewId="0">
      <ns0:pane xSplit="4" ySplit="18" topLeftCell="E19" activePane="bottomRight" state="frozen"/>
      <ns0:selection pane="topRight"/>
      <ns0:selection pane="bottomLeft"/>
      <ns0:selection pane="bottomRight" activeCell="A1" sqref="A1"/>
    </ns0:sheetView>
  </ns0:sheetViews>
  <ns0:sheetFormatPr baseColWidth="8" defaultRowHeight="15"/>
  <ns0:cols>
    <ns0:col width="22" customWidth="1" min="1" max="1"/>
    <ns0:col width="25" customWidth="1" min="2" max="2"/>
    <ns0:col width="12" customWidth="1" min="3" max="3"/>
    <ns0:col hidden="1" width="11" customWidth="1" min="4" max="4"/>
    <ns0:col width="11" customWidth="1" min="5" max="5"/>
    <ns0:col width="11" customWidth="1" min="6" max="6"/>
    <ns0:col width="11" customWidth="1" min="7" max="7"/>
    <ns0:col width="11" customWidth="1" min="8" max="8"/>
    <ns0:col width="11" customWidth="1" min="9" max="9"/>
    <ns0:col width="11" customWidth="1" min="10" max="10"/>
    <ns0:col width="11" customWidth="1" min="11" max="11"/>
    <ns0:col width="11" customWidth="1" min="12" max="12"/>
    <ns0:col width="11" customWidth="1" min="13" max="13"/>
    <ns0:col width="11" customWidth="1" min="14" max="14"/>
    <ns0:col width="11" customWidth="1" min="15" max="15"/>
    <ns0:col width="11" customWidth="1" min="16" max="16"/>
    <ns0:col width="11" customWidth="1" min="17" max="17"/>
    <ns0:col width="11" customWidth="1" min="18" max="18"/>
    <ns0:col width="11" customWidth="1" min="19" max="19"/>
    <ns0:col width="11" customWidth="1" min="20" max="20"/>
    <ns0:col width="11" customWidth="1" min="21" max="21"/>
    <ns0:col width="11" customWidth="1" min="22" max="22"/>
    <ns0:col width="11" customWidth="1" min="23" max="23"/>
    <ns0:col width="11" customWidth="1" min="24" max="24"/>
    <ns0:col width="11" customWidth="1" min="25" max="25"/>
    <ns0:col width="11" customWidth="1" min="26" max="26"/>
    <ns0:col width="11" customWidth="1" min="27" max="27"/>
    <ns0:col width="11" customWidth="1" min="28" max="28"/>
    <ns0:col width="11" customWidth="1" min="29" max="29"/>
    <ns0:col width="11" customWidth="1" min="30" max="30"/>
    <ns0:col width="11" customWidth="1" min="31" max="31"/>
    <ns0:col width="11" customWidth="1" min="32" max="32"/>
    <ns0:col width="11" customWidth="1" min="33" max="33"/>
    <ns0:col width="11" customWidth="1" min="34" max="34"/>
    <ns0:col width="11" customWidth="1" min="35" max="35"/>
    <ns0:col width="11" customWidth="1" min="36" max="36"/>
    <ns0:col width="11" customWidth="1" min="37" max="37"/>
    <ns0:col width="11" customWidth="1" min="38" max="38"/>
    <ns0:col width="11" customWidth="1" min="39" max="39"/>
    <ns0:col width="11" customWidth="1" min="40" max="40"/>
    <ns0:col width="11" customWidth="1" min="41" max="41"/>
    <ns0:col width="11" customWidth="1" min="42" max="42"/>
    <ns0:col width="11" customWidth="1" min="43" max="43"/>
    <ns0:col width="11" customWidth="1" min="44" max="44"/>
    <ns0:col width="11" customWidth="1" min="45" max="45"/>
    <ns0:col width="11" customWidth="1" min="46" max="46"/>
    <ns0:col width="11" customWidth="1" min="47" max="47"/>
    <ns0:col width="11" customWidth="1" min="48" max="48"/>
    <ns0:col width="11" customWidth="1" min="49" max="49"/>
    <ns0:col width="11" customWidth="1" min="50" max="50"/>
    <ns0:col width="11" customWidth="1" min="51" max="51"/>
    <ns0:col width="11" customWidth="1" min="52" max="52"/>
    <ns0:col width="11" customWidth="1" min="53" max="53"/>
    <ns0:col width="11" customWidth="1" min="54" max="54"/>
    <ns0:col width="11" customWidth="1" min="55" max="55"/>
    <ns0:col width="11" customWidth="1" min="56" max="56"/>
    <ns0:col width="11" customWidth="1" min="57" max="57"/>
    <ns0:col width="11" customWidth="1" min="58" max="58"/>
    <ns0:col width="11" customWidth="1" min="59" max="59"/>
    <ns0:col width="11" customWidth="1" min="60" max="60"/>
    <ns0:col width="11" customWidth="1" min="61" max="61"/>
    <ns0:col width="11" customWidth="1" min="62" max="62"/>
    <ns0:col width="11" customWidth="1" min="63" max="63"/>
  </ns0:cols>
  <ns0:sheetData>
    <ns0:row r="1">
      <ns0:c r="A1" s="1" t="n"/>
      <ns0:c r="B1" s="1" t="n"/>
      <ns0:c r="C1" s="1" t="n"/>
      <ns0:c r="D1" s="1" t="n"/>
      <ns0:c r="E1" s="1" t="n"/>
      <ns0:c r="G1" s="1" t="n"/>
      <ns0:c r="H1" s="1" t="n"/>
      <ns0:c r="I1" s="1" t="n"/>
      <ns0:c r="J1" s="1" t="n"/>
      <ns0:c r="K1" s="1" t="n"/>
      <ns0:c r="L1" s="1" t="n"/>
      <ns0:c r="M1" s="1" t="n"/>
      <ns0:c r="N1" s="1" t="n"/>
      <ns0:c r="O1" s="1" t="n"/>
      <ns0:c r="P1" s="1" t="n"/>
      <ns0:c r="Q1" s="1" t="n"/>
      <ns0:c r="R1" s="1" t="n"/>
      <ns0:c r="S1" s="1" t="n"/>
      <ns0:c r="T1" s="1" t="n"/>
      <ns0:c r="U1" s="1" t="n"/>
      <ns0:c r="V1" s="1" t="n"/>
      <ns0:c r="W1" s="1" t="n"/>
      <ns0:c r="X1" s="1" t="n"/>
      <ns0:c r="Y1" s="1" t="n"/>
      <ns0:c r="Z1" s="1" t="n"/>
      <ns0:c r="AA1" s="1" t="n"/>
      <ns0:c r="AB1" s="1" t="n"/>
      <ns0:c r="AC1" s="1" t="n"/>
      <ns0:c r="AD1" s="1" t="n"/>
      <ns0:c r="AE1" s="1" t="n"/>
      <ns0:c r="AF1" s="1" t="n"/>
      <ns0:c r="AG1" s="1" t="n"/>
      <ns0:c r="AH1" s="1" t="n"/>
      <ns0:c r="AI1" s="1" t="n"/>
      <ns0:c r="AJ1" s="1" t="n"/>
      <ns0:c r="AK1" s="1" t="n"/>
      <ns0:c r="AL1" s="1" t="n"/>
      <ns0:c r="AM1" s="1" t="n"/>
      <ns0:c r="AN1" s="1" t="n"/>
      <ns0:c r="AO1" s="1" t="n"/>
      <ns0:c r="AP1" s="1" t="n"/>
      <ns0:c r="AQ1" s="1" t="n"/>
      <ns0:c r="AR1" s="1" t="n"/>
      <ns0:c r="AS1" s="1" t="n"/>
      <ns0:c r="AT1" s="1" t="n"/>
      <ns0:c r="AU1" s="1" t="n"/>
      <ns0:c r="AV1" s="1" t="n"/>
      <ns0:c r="AW1" s="1" t="n"/>
      <ns0:c r="AX1" s="1" t="n"/>
      <ns0:c r="AY1" s="1" t="n"/>
      <ns0:c r="AZ1" s="1" t="n"/>
      <ns0:c r="BA1" s="1" t="n"/>
      <ns0:c r="BB1" s="1" t="n"/>
      <ns0:c r="BC1" s="1" t="n"/>
      <ns0:c r="BD1" s="1" t="n"/>
      <ns0:c r="BE1" s="1" t="n"/>
      <ns0:c r="BF1" s="1" t="n"/>
      <ns0:c r="BG1" s="1" t="n"/>
      <ns0:c r="BH1" s="1" t="n"/>
      <ns0:c r="BI1" s="1" t="n"/>
      <ns0:c r="BJ1" s="1" t="n"/>
      <ns0:c r="BK1" s="1" t="n"/>
    </ns0:row>
    <ns0:row r="2">
      <ns0:c r="A2" s="1" t="n"/>
      <ns0:c r="B2" s="1" t="n"/>
      <ns0:c r="C2" s="1" t="n"/>
      <ns0:c r="D2" s="1" t="n"/>
      <ns0:c r="E2" s="1" t="n"/>
      <ns0:c r="F2" s="1" t="n"/>
      <ns0:c r="G2" s="1" t="n"/>
      <ns0:c r="H2" s="1" t="n"/>
      <ns0:c r="I2" s="1" t="n"/>
      <ns0:c r="J2" s="1" t="n"/>
      <ns0:c r="K2" s="1" t="n"/>
      <ns0:c r="L2" s="1" t="n"/>
      <ns0:c r="M2" s="1" t="n"/>
      <ns0:c r="N2" s="1" t="n"/>
      <ns0:c r="O2" s="1" t="n"/>
      <ns0:c r="P2" s="1" t="n"/>
      <ns0:c r="Q2" s="1" t="n"/>
      <ns0:c r="R2" s="1" t="n"/>
      <ns0:c r="S2" s="1" t="n"/>
      <ns0:c r="T2" s="1" t="n"/>
      <ns0:c r="U2" s="1" t="n"/>
      <ns0:c r="V2" s="1" t="n"/>
      <ns0:c r="W2" s="1" t="n"/>
      <ns0:c r="X2" s="1" t="n"/>
      <ns0:c r="Y2" s="1" t="n"/>
      <ns0:c r="Z2" s="1" t="n"/>
      <ns0:c r="AA2" s="1" t="n"/>
      <ns0:c r="AB2" s="1" t="n"/>
      <ns0:c r="AC2" s="1" t="n"/>
      <ns0:c r="AD2" s="1" t="n"/>
      <ns0:c r="AE2" s="1" t="n"/>
      <ns0:c r="AF2" s="1" t="n"/>
      <ns0:c r="AG2" s="1" t="n"/>
      <ns0:c r="AH2" s="1" t="n"/>
      <ns0:c r="AI2" s="1" t="n"/>
      <ns0:c r="AJ2" s="1" t="n"/>
      <ns0:c r="AK2" s="1" t="n"/>
      <ns0:c r="AL2" s="1" t="n"/>
      <ns0:c r="AM2" s="1" t="n"/>
      <ns0:c r="AN2" s="1" t="n"/>
      <ns0:c r="AO2" s="1" t="n"/>
      <ns0:c r="AP2" s="1" t="n"/>
      <ns0:c r="AQ2" s="1" t="n"/>
      <ns0:c r="AR2" s="1" t="n"/>
      <ns0:c r="AS2" s="1" t="n"/>
      <ns0:c r="AT2" s="1" t="n"/>
      <ns0:c r="AU2" s="1" t="n"/>
      <ns0:c r="AV2" s="1" t="n"/>
      <ns0:c r="AW2" s="1" t="n"/>
      <ns0:c r="AX2" s="1" t="n"/>
      <ns0:c r="AY2" s="1" t="n"/>
      <ns0:c r="AZ2" s="1" t="n"/>
      <ns0:c r="BA2" s="1" t="n"/>
      <ns0:c r="BB2" s="1" t="n"/>
      <ns0:c r="BC2" s="1" t="n"/>
      <ns0:c r="BD2" s="1" t="n"/>
      <ns0:c r="BE2" s="1" t="n"/>
      <ns0:c r="BF2" s="1" t="n"/>
      <ns0:c r="BG2" s="1" t="n"/>
      <ns0:c r="BH2" s="1" t="n"/>
      <ns0:c r="BI2" s="1" t="n"/>
      <ns0:c r="BJ2" s="1" t="n"/>
      <ns0:c r="BK2" s="1" t="n"/>
      <ns0:c r="BL2" s="31" t="n"/>
    </ns0:row>
    <ns0:row r="3">
      <ns0:c r="A3" s="1" t="n"/>
      <ns0:c r="B3" s="1" t="n"/>
      <ns0:c r="C3" s="1" t="n"/>
      <ns0:c r="D3" s="1" t="n"/>
      <ns0:c r="E3" s="1" t="n"/>
      <ns0:c r="F3" s="1" t="n"/>
      <ns0:c r="G3" s="1" t="n"/>
      <ns0:c r="H3" s="1" t="n"/>
      <ns0:c r="I3" s="1" t="n"/>
      <ns0:c r="J3" s="1" t="n"/>
      <ns0:c r="K3" s="1" t="n"/>
      <ns0:c r="L3" s="1" t="n"/>
      <ns0:c r="M3" s="1" t="n"/>
      <ns0:c r="N3" s="1" t="n"/>
      <ns0:c r="O3" s="1" t="n"/>
      <ns0:c r="P3" s="1" t="n"/>
      <ns0:c r="Q3" s="1" t="n"/>
      <ns0:c r="R3" s="1" t="n"/>
      <ns0:c r="S3" s="1" t="n"/>
      <ns0:c r="T3" s="1" t="n"/>
      <ns0:c r="U3" s="1" t="n"/>
      <ns0:c r="V3" s="1" t="n"/>
      <ns0:c r="W3" s="1" t="n"/>
      <ns0:c r="X3" s="1" t="n"/>
      <ns0:c r="Y3" s="1" t="n"/>
      <ns0:c r="Z3" s="1" t="n"/>
      <ns0:c r="AA3" s="1" t="n"/>
      <ns0:c r="AB3" s="1" t="n"/>
      <ns0:c r="AC3" s="1" t="n"/>
      <ns0:c r="AD3" s="1" t="n"/>
      <ns0:c r="AE3" s="1" t="n"/>
      <ns0:c r="AF3" s="1" t="n"/>
      <ns0:c r="AG3" s="1" t="n"/>
      <ns0:c r="AH3" s="1" t="n"/>
      <ns0:c r="AI3" s="1" t="n"/>
      <ns0:c r="AJ3" s="1" t="n"/>
      <ns0:c r="AK3" s="1" t="n"/>
      <ns0:c r="AL3" s="1" t="n"/>
      <ns0:c r="AM3" s="1" t="n"/>
      <ns0:c r="AN3" s="1" t="n"/>
      <ns0:c r="AO3" s="1" t="n"/>
      <ns0:c r="AP3" s="1" t="n"/>
      <ns0:c r="AQ3" s="1" t="n"/>
      <ns0:c r="AR3" s="1" t="n"/>
      <ns0:c r="AS3" s="1" t="n"/>
      <ns0:c r="AT3" s="1" t="n"/>
      <ns0:c r="AU3" s="1" t="n"/>
      <ns0:c r="AV3" s="1" t="n"/>
      <ns0:c r="AW3" s="1" t="n"/>
      <ns0:c r="AX3" s="1" t="n"/>
      <ns0:c r="AY3" s="1" t="n"/>
      <ns0:c r="AZ3" s="1" t="n"/>
      <ns0:c r="BA3" s="1" t="n"/>
      <ns0:c r="BB3" s="1" t="n"/>
      <ns0:c r="BC3" s="1" t="n"/>
      <ns0:c r="BD3" s="1" t="n"/>
      <ns0:c r="BE3" s="1" t="n"/>
      <ns0:c r="BF3" s="1" t="n"/>
      <ns0:c r="BG3" s="1" t="n"/>
      <ns0:c r="BH3" s="1" t="n"/>
      <ns0:c r="BI3" s="1" t="n"/>
      <ns0:c r="BJ3" s="1" t="n"/>
      <ns0:c r="BK3" s="1" t="n"/>
      <ns0:c r="BL3" s="31" t="n"/>
    </ns0:row>
    <ns0:row r="4">
      <ns0:c r="A4" s="31" t="n"/>
      <ns0:c r="B4" s="31" t="n"/>
      <ns0:c r="C4" s="31" t="n"/>
      <ns0:c r="D4" s="31" t="n"/>
      <ns0:c r="E4" s="31" t="n"/>
      <ns0:c r="F4" s="31" t="n"/>
      <ns0:c r="G4" s="31" t="n"/>
      <ns0:c r="H4" s="31" t="n"/>
      <ns0:c r="I4" s="31" t="n"/>
      <ns0:c r="J4" s="31" t="n"/>
      <ns0:c r="K4" s="31" t="n"/>
      <ns0:c r="L4" s="31" t="n"/>
      <ns0:c r="M4" s="31" t="n"/>
      <ns0:c r="N4" s="31" t="n"/>
      <ns0:c r="O4" s="31" t="n"/>
      <ns0:c r="P4" s="31" t="n"/>
      <ns0:c r="Q4" s="31" t="n"/>
      <ns0:c r="R4" s="31" t="n"/>
      <ns0:c r="S4" s="31" t="n"/>
      <ns0:c r="T4" s="31" t="n"/>
      <ns0:c r="U4" s="31" t="n"/>
      <ns0:c r="V4" s="31" t="n"/>
      <ns0:c r="W4" s="31" t="n"/>
      <ns0:c r="X4" s="31" t="n"/>
      <ns0:c r="Y4" s="31" t="n"/>
      <ns0:c r="Z4" s="31" t="n"/>
      <ns0:c r="AA4" s="31" t="n"/>
      <ns0:c r="AB4" s="31" t="n"/>
      <ns0:c r="AC4" s="31" t="n"/>
      <ns0:c r="AD4" s="31" t="n"/>
      <ns0:c r="AE4" s="31" t="n"/>
      <ns0:c r="AF4" s="31" t="n"/>
      <ns0:c r="AG4" s="31" t="n"/>
      <ns0:c r="AH4" s="31" t="n"/>
      <ns0:c r="AI4" s="31" t="n"/>
      <ns0:c r="AJ4" s="31" t="n"/>
      <ns0:c r="AK4" s="31" t="n"/>
      <ns0:c r="AL4" s="31" t="n"/>
      <ns0:c r="AM4" s="31" t="n"/>
      <ns0:c r="AN4" s="31" t="n"/>
      <ns0:c r="AO4" s="31" t="n"/>
      <ns0:c r="AP4" s="31" t="n"/>
      <ns0:c r="AQ4" s="31" t="n"/>
      <ns0:c r="AR4" s="31" t="n"/>
      <ns0:c r="AS4" s="31" t="n"/>
      <ns0:c r="AT4" s="31" t="n"/>
      <ns0:c r="AU4" s="31" t="n"/>
      <ns0:c r="AV4" s="31" t="n"/>
      <ns0:c r="AW4" s="31" t="n"/>
      <ns0:c r="AX4" s="31" t="n"/>
      <ns0:c r="AY4" s="31" t="n"/>
      <ns0:c r="AZ4" s="31" t="n"/>
      <ns0:c r="BA4" s="31" t="n"/>
      <ns0:c r="BB4" s="31" t="n"/>
      <ns0:c r="BC4" s="31" t="n"/>
      <ns0:c r="BD4" s="31" t="n"/>
      <ns0:c r="BE4" s="31" t="n"/>
      <ns0:c r="BF4" s="31" t="n"/>
      <ns0:c r="BG4" s="31" t="n"/>
      <ns0:c r="BH4" s="31" t="n"/>
      <ns0:c r="BI4" s="31" t="n"/>
      <ns0:c r="BJ4" s="31" t="n"/>
      <ns0:c r="BK4" s="31" t="n"/>
      <ns0:c r="BL4" s="31" t="n"/>
    </ns0:row>
    <ns0:row r="5">
      <ns0:c r="A5" s="31" t="n"/>
      <ns0:c r="B5" s="31" t="n"/>
      <ns0:c r="C5" s="31" t="n"/>
      <ns0:c r="D5" s="31" t="n"/>
      <ns0:c r="E5" s="31" t="n"/>
      <ns0:c r="F5" s="31" t="n"/>
      <ns0:c r="G5" s="31" t="n"/>
      <ns0:c r="H5" s="31" t="n"/>
      <ns0:c r="I5" s="31" t="n"/>
      <ns0:c r="J5" s="31" t="n"/>
      <ns0:c r="K5" s="31" t="n"/>
      <ns0:c r="L5" s="31" t="n"/>
      <ns0:c r="M5" s="31" t="n"/>
      <ns0:c r="N5" s="31" t="n"/>
      <ns0:c r="O5" s="31" t="n"/>
      <ns0:c r="P5" s="31" t="n"/>
      <ns0:c r="Q5" s="31" t="n"/>
      <ns0:c r="R5" s="31" t="n"/>
      <ns0:c r="S5" s="31" t="n"/>
      <ns0:c r="T5" s="31" t="n"/>
      <ns0:c r="U5" s="31" t="n"/>
      <ns0:c r="V5" s="31" t="n"/>
      <ns0:c r="W5" s="31" t="n"/>
      <ns0:c r="X5" s="31" t="n"/>
      <ns0:c r="Y5" s="31" t="n"/>
      <ns0:c r="Z5" s="31" t="n"/>
      <ns0:c r="AA5" s="31" t="n"/>
      <ns0:c r="AB5" s="31" t="n"/>
      <ns0:c r="AC5" s="31" t="n"/>
      <ns0:c r="AD5" s="31" t="n"/>
      <ns0:c r="AE5" s="31" t="n"/>
      <ns0:c r="AF5" s="31" t="n"/>
      <ns0:c r="AG5" s="31" t="n"/>
      <ns0:c r="AH5" s="31" t="n"/>
      <ns0:c r="AI5" s="31" t="n"/>
      <ns0:c r="AJ5" s="31" t="n"/>
      <ns0:c r="AK5" s="31" t="n"/>
      <ns0:c r="AL5" s="31" t="n"/>
      <ns0:c r="AM5" s="31" t="n"/>
      <ns0:c r="AN5" s="31" t="n"/>
      <ns0:c r="AO5" s="31" t="n"/>
      <ns0:c r="AP5" s="31" t="n"/>
      <ns0:c r="AQ5" s="31" t="n"/>
      <ns0:c r="AR5" s="31" t="n"/>
      <ns0:c r="AS5" s="31" t="n"/>
      <ns0:c r="AT5" s="31" t="n"/>
      <ns0:c r="AU5" s="31" t="n"/>
      <ns0:c r="AV5" s="31" t="n"/>
      <ns0:c r="AW5" s="31" t="n"/>
      <ns0:c r="AX5" s="31" t="n"/>
      <ns0:c r="AY5" s="31" t="n"/>
      <ns0:c r="AZ5" s="31" t="n"/>
      <ns0:c r="BA5" s="31" t="n"/>
      <ns0:c r="BB5" s="31" t="n"/>
      <ns0:c r="BC5" s="31" t="n"/>
      <ns0:c r="BD5" s="31" t="n"/>
      <ns0:c r="BE5" s="31" t="n"/>
      <ns0:c r="BF5" s="31" t="n"/>
      <ns0:c r="BG5" s="31" t="n"/>
      <ns0:c r="BH5" s="31" t="n"/>
      <ns0:c r="BI5" s="31" t="n"/>
      <ns0:c r="BJ5" s="31" t="n"/>
      <ns0:c r="BK5" s="31" t="n"/>
      <ns0:c r="BL5" s="31" t="n"/>
    </ns0:row>
    <ns0:row r="6">
      <ns0:c r="A6" s="31" t="n"/>
      <ns0:c r="B6" s="31" t="n"/>
      <ns0:c r="C6" s="31" t="n"/>
      <ns0:c r="D6" s="31" t="n"/>
      <ns0:c r="E6" s="31" t="n"/>
      <ns0:c r="F6" s="31" t="n"/>
      <ns0:c r="G6" s="31" t="n"/>
      <ns0:c r="H6" s="31" t="n"/>
      <ns0:c r="I6" s="31" t="n"/>
      <ns0:c r="J6" s="31" t="n"/>
      <ns0:c r="K6" s="31" t="n"/>
      <ns0:c r="L6" s="31" t="n"/>
      <ns0:c r="M6" s="31" t="n"/>
      <ns0:c r="N6" s="31" t="n"/>
      <ns0:c r="O6" s="31" t="n"/>
      <ns0:c r="P6" s="31" t="n"/>
      <ns0:c r="Q6" s="31" t="n"/>
      <ns0:c r="R6" s="31" t="n"/>
      <ns0:c r="S6" s="31" t="n"/>
      <ns0:c r="T6" s="31" t="n"/>
      <ns0:c r="U6" s="31" t="n"/>
      <ns0:c r="V6" s="31" t="n"/>
      <ns0:c r="W6" s="31" t="n"/>
      <ns0:c r="X6" s="31" t="n"/>
      <ns0:c r="Y6" s="31" t="n"/>
      <ns0:c r="Z6" s="31" t="n"/>
      <ns0:c r="AA6" s="31" t="n"/>
      <ns0:c r="AB6" s="31" t="n"/>
      <ns0:c r="AC6" s="31" t="n"/>
      <ns0:c r="AD6" s="31" t="n"/>
      <ns0:c r="AE6" s="31" t="n"/>
      <ns0:c r="AF6" s="31" t="n"/>
      <ns0:c r="AG6" s="31" t="n"/>
      <ns0:c r="AH6" s="31" t="n"/>
      <ns0:c r="AI6" s="31" t="n"/>
      <ns0:c r="AJ6" s="31" t="n"/>
      <ns0:c r="AK6" s="31" t="n"/>
      <ns0:c r="AL6" s="31" t="n"/>
      <ns0:c r="AM6" s="31" t="n"/>
      <ns0:c r="AN6" s="31" t="n"/>
      <ns0:c r="AO6" s="31" t="n"/>
      <ns0:c r="AP6" s="31" t="n"/>
      <ns0:c r="AQ6" s="31" t="n"/>
      <ns0:c r="AR6" s="31" t="n"/>
      <ns0:c r="AS6" s="31" t="n"/>
      <ns0:c r="AT6" s="31" t="n"/>
      <ns0:c r="AU6" s="31" t="n"/>
      <ns0:c r="AV6" s="31" t="n"/>
      <ns0:c r="AW6" s="31" t="n"/>
      <ns0:c r="AX6" s="31" t="n"/>
      <ns0:c r="AY6" s="31" t="n"/>
      <ns0:c r="AZ6" s="31" t="n"/>
      <ns0:c r="BA6" s="31" t="n"/>
      <ns0:c r="BB6" s="31" t="n"/>
      <ns0:c r="BC6" s="31" t="n"/>
      <ns0:c r="BD6" s="31" t="n"/>
      <ns0:c r="BE6" s="31" t="n"/>
      <ns0:c r="BF6" s="31" t="n"/>
      <ns0:c r="BG6" s="31" t="n"/>
      <ns0:c r="BH6" s="31" t="n"/>
      <ns0:c r="BI6" s="31" t="n"/>
      <ns0:c r="BJ6" s="31" t="n"/>
      <ns0:c r="BK6" s="31" t="n"/>
      <ns0:c r="BL6" s="31" t="n"/>
    </ns0:row>
    <ns0:row r="7">
      <ns0:c r="A7" s="31" t="n"/>
      <ns0:c r="B7" s="31" t="n"/>
      <ns0:c r="C7" s="31" t="n"/>
      <ns0:c r="D7" s="31" t="n"/>
      <ns0:c r="E7" s="31" t="n"/>
      <ns0:c r="F7" s="31" t="n"/>
      <ns0:c r="G7" s="31" t="n"/>
      <ns0:c r="H7" s="31" t="n"/>
      <ns0:c r="I7" s="31" t="n"/>
      <ns0:c r="J7" s="31" t="n"/>
      <ns0:c r="K7" s="31" t="n"/>
      <ns0:c r="L7" s="31" t="n"/>
      <ns0:c r="M7" s="31" t="n"/>
      <ns0:c r="N7" s="31" t="n"/>
      <ns0:c r="O7" s="31" t="n"/>
      <ns0:c r="P7" s="31" t="n"/>
      <ns0:c r="Q7" s="31" t="n"/>
      <ns0:c r="R7" s="31" t="n"/>
      <ns0:c r="S7" s="31" t="n"/>
      <ns0:c r="T7" s="31" t="n"/>
      <ns0:c r="U7" s="31" t="n"/>
      <ns0:c r="V7" s="31" t="n"/>
      <ns0:c r="W7" s="31" t="n"/>
      <ns0:c r="X7" s="31" t="n"/>
      <ns0:c r="Y7" s="31" t="n"/>
      <ns0:c r="Z7" s="31" t="n"/>
      <ns0:c r="AA7" s="31" t="n"/>
      <ns0:c r="AB7" s="31" t="n"/>
      <ns0:c r="AC7" s="31" t="n"/>
      <ns0:c r="AD7" s="31" t="n"/>
      <ns0:c r="AE7" s="31" t="n"/>
      <ns0:c r="AF7" s="31" t="n"/>
      <ns0:c r="AG7" s="31" t="n"/>
      <ns0:c r="AH7" s="31" t="n"/>
      <ns0:c r="AI7" s="31" t="n"/>
      <ns0:c r="AJ7" s="31" t="n"/>
      <ns0:c r="AK7" s="31" t="n"/>
      <ns0:c r="AL7" s="31" t="n"/>
      <ns0:c r="AM7" s="31" t="n"/>
      <ns0:c r="AN7" s="31" t="n"/>
      <ns0:c r="AO7" s="31" t="n"/>
      <ns0:c r="AP7" s="31" t="n"/>
      <ns0:c r="AQ7" s="31" t="n"/>
      <ns0:c r="AR7" s="31" t="n"/>
      <ns0:c r="AS7" s="31" t="n"/>
      <ns0:c r="AT7" s="31" t="n"/>
      <ns0:c r="AU7" s="31" t="n"/>
      <ns0:c r="AV7" s="31" t="n"/>
      <ns0:c r="AW7" s="31" t="n"/>
      <ns0:c r="AX7" s="31" t="n"/>
      <ns0:c r="AY7" s="31" t="n"/>
      <ns0:c r="AZ7" s="31" t="n"/>
      <ns0:c r="BA7" s="31" t="n"/>
      <ns0:c r="BB7" s="31" t="n"/>
      <ns0:c r="BC7" s="31" t="n"/>
      <ns0:c r="BD7" s="31" t="n"/>
      <ns0:c r="BE7" s="31" t="n"/>
      <ns0:c r="BF7" s="31" t="n"/>
      <ns0:c r="BG7" s="31" t="n"/>
      <ns0:c r="BH7" s="31" t="n"/>
      <ns0:c r="BI7" s="31" t="n"/>
      <ns0:c r="BJ7" s="31" t="n"/>
      <ns0:c r="BK7" s="31" t="n"/>
      <ns0:c r="BL7" s="31" t="n"/>
    </ns0:row>
    <ns0:row r="8">
      <ns0:c r="A8" s="31" t="n"/>
      <ns0:c r="B8" s="31" t="n"/>
      <ns0:c r="C8" s="31" t="n"/>
      <ns0:c r="D8" s="31" t="n"/>
      <ns0:c r="E8" s="31" t="n"/>
      <ns0:c r="F8" s="31" t="n"/>
      <ns0:c r="G8" s="31" t="n"/>
      <ns0:c r="H8" s="31" t="n"/>
      <ns0:c r="I8" s="31" t="n"/>
      <ns0:c r="J8" s="31" t="n"/>
      <ns0:c r="K8" s="31" t="n"/>
      <ns0:c r="L8" s="31" t="n"/>
      <ns0:c r="M8" s="31" t="n"/>
      <ns0:c r="N8" s="31" t="n"/>
      <ns0:c r="O8" s="31" t="n"/>
      <ns0:c r="P8" s="31" t="n"/>
      <ns0:c r="Q8" s="31" t="n"/>
      <ns0:c r="R8" s="31" t="n"/>
      <ns0:c r="S8" s="31" t="n"/>
      <ns0:c r="T8" s="31" t="n"/>
      <ns0:c r="U8" s="31" t="n"/>
      <ns0:c r="V8" s="31" t="n"/>
      <ns0:c r="W8" s="31" t="n"/>
      <ns0:c r="X8" s="31" t="n"/>
      <ns0:c r="Y8" s="31" t="n"/>
      <ns0:c r="Z8" s="31" t="n"/>
      <ns0:c r="AA8" s="31" t="n"/>
      <ns0:c r="AB8" s="31" t="n"/>
      <ns0:c r="AC8" s="31" t="n"/>
      <ns0:c r="AD8" s="31" t="n"/>
      <ns0:c r="AE8" s="31" t="n"/>
      <ns0:c r="AF8" s="31" t="n"/>
      <ns0:c r="AG8" s="31" t="n"/>
      <ns0:c r="AH8" s="31" t="n"/>
      <ns0:c r="AI8" s="31" t="n"/>
      <ns0:c r="AJ8" s="31" t="n"/>
      <ns0:c r="AK8" s="31" t="n"/>
      <ns0:c r="AL8" s="31" t="n"/>
      <ns0:c r="AM8" s="31" t="n"/>
      <ns0:c r="AN8" s="31" t="n"/>
      <ns0:c r="AO8" s="31" t="n"/>
      <ns0:c r="AP8" s="31" t="n"/>
      <ns0:c r="AQ8" s="31" t="n"/>
      <ns0:c r="AR8" s="31" t="n"/>
      <ns0:c r="AS8" s="31" t="n"/>
      <ns0:c r="AT8" s="31" t="n"/>
      <ns0:c r="AU8" s="31" t="n"/>
      <ns0:c r="AV8" s="31" t="n"/>
      <ns0:c r="AW8" s="31" t="n"/>
      <ns0:c r="AX8" s="31" t="n"/>
      <ns0:c r="AY8" s="31" t="n"/>
      <ns0:c r="AZ8" s="31" t="n"/>
      <ns0:c r="BA8" s="31" t="n"/>
      <ns0:c r="BB8" s="31" t="n"/>
      <ns0:c r="BC8" s="31" t="n"/>
      <ns0:c r="BD8" s="31" t="n"/>
      <ns0:c r="BE8" s="31" t="n"/>
      <ns0:c r="BF8" s="31" t="n"/>
      <ns0:c r="BG8" s="31" t="n"/>
      <ns0:c r="BH8" s="31" t="n"/>
      <ns0:c r="BI8" s="31" t="n"/>
      <ns0:c r="BJ8" s="31" t="n"/>
      <ns0:c r="BK8" s="31" t="n"/>
      <ns0:c r="BL8" s="31" t="n"/>
    </ns0:row>
    <ns0:row r="9">
      <ns0:c r="A9" s="31" t="n"/>
      <ns0:c r="B9" s="31" t="n"/>
      <ns0:c r="C9" s="31" t="n"/>
      <ns0:c r="D9" s="31" t="n"/>
      <ns0:c r="E9" s="31" t="n"/>
      <ns0:c r="F9" s="31" t="n"/>
      <ns0:c r="G9" s="31" t="n"/>
      <ns0:c r="H9" s="31" t="n"/>
      <ns0:c r="I9" s="31" t="n"/>
      <ns0:c r="J9" s="31" t="n"/>
      <ns0:c r="K9" s="31" t="n"/>
      <ns0:c r="L9" s="31" t="n"/>
      <ns0:c r="M9" s="31" t="n"/>
      <ns0:c r="N9" s="31" t="n"/>
      <ns0:c r="O9" s="31" t="n"/>
      <ns0:c r="P9" s="31" t="n"/>
      <ns0:c r="Q9" s="31" t="n"/>
      <ns0:c r="R9" s="31" t="n"/>
      <ns0:c r="S9" s="31" t="n"/>
      <ns0:c r="T9" s="31" t="n"/>
      <ns0:c r="U9" s="31" t="n"/>
      <ns0:c r="V9" s="31" t="n"/>
      <ns0:c r="W9" s="31" t="n"/>
      <ns0:c r="X9" s="31" t="n"/>
      <ns0:c r="Y9" s="31" t="n"/>
      <ns0:c r="Z9" s="31" t="n"/>
      <ns0:c r="AA9" s="31" t="n"/>
      <ns0:c r="AB9" s="31" t="n"/>
      <ns0:c r="AC9" s="31" t="n"/>
      <ns0:c r="AD9" s="31" t="n"/>
      <ns0:c r="AE9" s="31" t="n"/>
      <ns0:c r="AF9" s="31" t="n"/>
      <ns0:c r="AG9" s="31" t="n"/>
      <ns0:c r="AH9" s="31" t="n"/>
      <ns0:c r="AI9" s="31" t="n"/>
      <ns0:c r="AJ9" s="31" t="n"/>
      <ns0:c r="AK9" s="31" t="n"/>
      <ns0:c r="AL9" s="31" t="n"/>
      <ns0:c r="AM9" s="31" t="n"/>
      <ns0:c r="AN9" s="31" t="n"/>
      <ns0:c r="AO9" s="31" t="n"/>
      <ns0:c r="AP9" s="31" t="n"/>
      <ns0:c r="AQ9" s="31" t="n"/>
      <ns0:c r="AR9" s="31" t="n"/>
      <ns0:c r="AS9" s="31" t="n"/>
      <ns0:c r="AT9" s="31" t="n"/>
      <ns0:c r="AU9" s="31" t="n"/>
      <ns0:c r="AV9" s="31" t="n"/>
      <ns0:c r="AW9" s="31" t="n"/>
      <ns0:c r="AX9" s="31" t="n"/>
      <ns0:c r="AY9" s="31" t="n"/>
      <ns0:c r="AZ9" s="31" t="n"/>
      <ns0:c r="BA9" s="31" t="n"/>
      <ns0:c r="BB9" s="31" t="n"/>
      <ns0:c r="BC9" s="31" t="n"/>
      <ns0:c r="BD9" s="31" t="n"/>
      <ns0:c r="BE9" s="31" t="n"/>
      <ns0:c r="BF9" s="31" t="n"/>
      <ns0:c r="BG9" s="31" t="n"/>
      <ns0:c r="BH9" s="31" t="n"/>
      <ns0:c r="BI9" s="31" t="n"/>
      <ns0:c r="BJ9" s="31" t="n"/>
      <ns0:c r="BK9" s="31" t="n"/>
      <ns0:c r="BL9" s="31" t="n"/>
    </ns0:row>
    <ns0:row r="10">
      <ns0:c r="A10" s="31" t="n"/>
      <ns0:c r="B10" s="31" t="n"/>
      <ns0:c r="C10" s="31" t="n"/>
      <ns0:c r="D10" s="31" t="n"/>
      <ns0:c r="E10" s="31" t="n"/>
      <ns0:c r="F10" s="31" t="n"/>
      <ns0:c r="G10" s="31" t="n"/>
      <ns0:c r="H10" s="31" t="n"/>
      <ns0:c r="I10" s="31" t="n"/>
      <ns0:c r="J10" s="31" t="n"/>
      <ns0:c r="K10" s="31" t="n"/>
      <ns0:c r="L10" s="31" t="n"/>
      <ns0:c r="M10" s="31" t="n"/>
      <ns0:c r="N10" s="31" t="n"/>
      <ns0:c r="O10" s="31" t="n"/>
      <ns0:c r="P10" s="31" t="n"/>
      <ns0:c r="Q10" s="31" t="n"/>
      <ns0:c r="R10" s="31" t="n"/>
      <ns0:c r="S10" s="31" t="n"/>
      <ns0:c r="T10" s="31" t="n"/>
      <ns0:c r="U10" s="31" t="n"/>
      <ns0:c r="V10" s="31" t="n"/>
      <ns0:c r="W10" s="31" t="n"/>
      <ns0:c r="X10" s="31" t="n"/>
      <ns0:c r="Y10" s="31" t="n"/>
      <ns0:c r="Z10" s="31" t="n"/>
      <ns0:c r="AA10" s="31" t="n"/>
      <ns0:c r="AB10" s="31" t="n"/>
      <ns0:c r="AC10" s="31" t="n"/>
      <ns0:c r="AD10" s="31" t="n"/>
      <ns0:c r="AE10" s="31" t="n"/>
      <ns0:c r="AF10" s="31" t="n"/>
      <ns0:c r="AG10" s="31" t="n"/>
      <ns0:c r="AH10" s="31" t="n"/>
      <ns0:c r="AI10" s="31" t="n"/>
      <ns0:c r="AJ10" s="31" t="n"/>
      <ns0:c r="AK10" s="31" t="n"/>
      <ns0:c r="AL10" s="31" t="n"/>
      <ns0:c r="AM10" s="31" t="n"/>
      <ns0:c r="AN10" s="31" t="n"/>
      <ns0:c r="AO10" s="31" t="n"/>
      <ns0:c r="AP10" s="31" t="n"/>
      <ns0:c r="AQ10" s="31" t="n"/>
      <ns0:c r="AR10" s="31" t="n"/>
      <ns0:c r="AS10" s="31" t="n"/>
      <ns0:c r="AT10" s="31" t="n"/>
      <ns0:c r="AU10" s="31" t="n"/>
      <ns0:c r="AV10" s="31" t="n"/>
      <ns0:c r="AW10" s="31" t="n"/>
      <ns0:c r="AX10" s="31" t="n"/>
      <ns0:c r="AY10" s="31" t="n"/>
      <ns0:c r="AZ10" s="31" t="n"/>
      <ns0:c r="BA10" s="31" t="n"/>
      <ns0:c r="BB10" s="31" t="n"/>
      <ns0:c r="BC10" s="31" t="n"/>
      <ns0:c r="BD10" s="31" t="n"/>
      <ns0:c r="BE10" s="31" t="n"/>
      <ns0:c r="BF10" s="31" t="n"/>
      <ns0:c r="BG10" s="31" t="n"/>
      <ns0:c r="BH10" s="31" t="n"/>
      <ns0:c r="BI10" s="31" t="n"/>
      <ns0:c r="BJ10" s="31" t="n"/>
      <ns0:c r="BK10" s="31" t="n"/>
      <ns0:c r="BL10" s="31" t="n"/>
    </ns0:row>
    <ns0:row r="11">
      <ns0:c r="A11" s="31" t="n"/>
      <ns0:c r="B11" s="31" t="n"/>
      <ns0:c r="C11" s="31" t="n"/>
      <ns0:c r="D11" s="31" t="n"/>
      <ns0:c r="E11" s="31" t="n"/>
      <ns0:c r="F11" s="31" t="n"/>
      <ns0:c r="G11" s="31" t="n"/>
      <ns0:c r="H11" s="31" t="n"/>
      <ns0:c r="I11" s="31" t="n"/>
      <ns0:c r="J11" s="31" t="n"/>
      <ns0:c r="K11" s="31" t="n"/>
      <ns0:c r="L11" s="31" t="n"/>
      <ns0:c r="M11" s="31" t="n"/>
      <ns0:c r="N11" s="31" t="n"/>
      <ns0:c r="O11" s="31" t="n"/>
      <ns0:c r="P11" s="31" t="n"/>
      <ns0:c r="Q11" s="31" t="n"/>
      <ns0:c r="R11" s="31" t="n"/>
      <ns0:c r="S11" s="31" t="n"/>
      <ns0:c r="T11" s="31" t="n"/>
      <ns0:c r="U11" s="31" t="n"/>
      <ns0:c r="V11" s="31" t="n"/>
      <ns0:c r="W11" s="31" t="n"/>
      <ns0:c r="X11" s="31" t="n"/>
      <ns0:c r="Y11" s="31" t="n"/>
      <ns0:c r="Z11" s="31" t="n"/>
      <ns0:c r="AA11" s="31" t="n"/>
      <ns0:c r="AB11" s="31" t="n"/>
      <ns0:c r="AC11" s="31" t="n"/>
      <ns0:c r="AD11" s="31" t="n"/>
      <ns0:c r="AE11" s="31" t="n"/>
      <ns0:c r="AF11" s="31" t="n"/>
      <ns0:c r="AG11" s="31" t="n"/>
      <ns0:c r="AH11" s="31" t="n"/>
      <ns0:c r="AI11" s="31" t="n"/>
      <ns0:c r="AJ11" s="31" t="n"/>
      <ns0:c r="AK11" s="31" t="n"/>
      <ns0:c r="AL11" s="31" t="n"/>
      <ns0:c r="AM11" s="31" t="n"/>
      <ns0:c r="AN11" s="31" t="n"/>
      <ns0:c r="AO11" s="31" t="n"/>
      <ns0:c r="AP11" s="31" t="n"/>
      <ns0:c r="AQ11" s="31" t="n"/>
      <ns0:c r="AR11" s="31" t="n"/>
      <ns0:c r="AS11" s="31" t="n"/>
      <ns0:c r="AT11" s="31" t="n"/>
      <ns0:c r="AU11" s="31" t="n"/>
      <ns0:c r="AV11" s="31" t="n"/>
      <ns0:c r="AW11" s="31" t="n"/>
      <ns0:c r="AX11" s="31" t="n"/>
      <ns0:c r="AY11" s="31" t="n"/>
      <ns0:c r="AZ11" s="31" t="n"/>
      <ns0:c r="BA11" s="31" t="n"/>
      <ns0:c r="BB11" s="31" t="n"/>
      <ns0:c r="BC11" s="31" t="n"/>
      <ns0:c r="BD11" s="31" t="n"/>
      <ns0:c r="BE11" s="31" t="n"/>
      <ns0:c r="BF11" s="31" t="n"/>
      <ns0:c r="BG11" s="31" t="n"/>
      <ns0:c r="BH11" s="31" t="n"/>
      <ns0:c r="BI11" s="31" t="n"/>
      <ns0:c r="BJ11" s="31" t="n"/>
      <ns0:c r="BK11" s="31" t="n"/>
      <ns0:c r="BL11" s="31" t="n"/>
    </ns0:row>
    <ns0:row r="12">
      <ns0:c r="A12" s="31" t="n"/>
      <ns0:c r="B12" s="31" t="n"/>
      <ns0:c r="C12" s="31" t="n"/>
      <ns0:c r="D12" s="31" t="n"/>
      <ns0:c r="E12" s="31" t="n"/>
      <ns0:c r="F12" s="31" t="n"/>
      <ns0:c r="G12" s="31" t="n"/>
      <ns0:c r="H12" s="31" t="n"/>
      <ns0:c r="I12" s="31" t="n"/>
      <ns0:c r="J12" s="31" t="n"/>
      <ns0:c r="K12" s="31" t="n"/>
      <ns0:c r="L12" s="31" t="n"/>
      <ns0:c r="M12" s="31" t="n"/>
      <ns0:c r="N12" s="31" t="n"/>
      <ns0:c r="O12" s="31" t="n"/>
      <ns0:c r="P12" s="31" t="n"/>
      <ns0:c r="Q12" s="31" t="n"/>
      <ns0:c r="R12" s="31" t="n"/>
      <ns0:c r="S12" s="31" t="n"/>
      <ns0:c r="T12" s="31" t="n"/>
      <ns0:c r="U12" s="31" t="n"/>
      <ns0:c r="V12" s="31" t="n"/>
      <ns0:c r="W12" s="31" t="n"/>
      <ns0:c r="X12" s="31" t="n"/>
      <ns0:c r="Y12" s="31" t="n"/>
      <ns0:c r="Z12" s="31" t="n"/>
      <ns0:c r="AA12" s="31" t="n"/>
      <ns0:c r="AB12" s="31" t="n"/>
      <ns0:c r="AC12" s="31" t="n"/>
      <ns0:c r="AD12" s="31" t="n"/>
      <ns0:c r="AE12" s="31" t="n"/>
      <ns0:c r="AF12" s="31" t="n"/>
      <ns0:c r="AG12" s="31" t="n"/>
      <ns0:c r="AH12" s="31" t="n"/>
      <ns0:c r="AI12" s="31" t="n"/>
      <ns0:c r="AJ12" s="31" t="n"/>
      <ns0:c r="AK12" s="31" t="n"/>
      <ns0:c r="AL12" s="31" t="n"/>
      <ns0:c r="AM12" s="31" t="n"/>
      <ns0:c r="AN12" s="31" t="n"/>
      <ns0:c r="AO12" s="31" t="n"/>
      <ns0:c r="AP12" s="31" t="n"/>
      <ns0:c r="AQ12" s="31" t="n"/>
      <ns0:c r="AR12" s="31" t="n"/>
      <ns0:c r="AS12" s="31" t="n"/>
      <ns0:c r="AT12" s="31" t="n"/>
      <ns0:c r="AU12" s="31" t="n"/>
      <ns0:c r="AV12" s="31" t="n"/>
      <ns0:c r="AW12" s="31" t="n"/>
      <ns0:c r="AX12" s="31" t="n"/>
      <ns0:c r="AY12" s="31" t="n"/>
      <ns0:c r="AZ12" s="31" t="n"/>
      <ns0:c r="BA12" s="31" t="n"/>
      <ns0:c r="BB12" s="31" t="n"/>
      <ns0:c r="BC12" s="31" t="n"/>
      <ns0:c r="BD12" s="31" t="n"/>
      <ns0:c r="BE12" s="31" t="n"/>
      <ns0:c r="BF12" s="31" t="n"/>
      <ns0:c r="BG12" s="31" t="n"/>
      <ns0:c r="BH12" s="31" t="n"/>
      <ns0:c r="BI12" s="31" t="n"/>
      <ns0:c r="BJ12" s="31" t="n"/>
      <ns0:c r="BK12" s="31" t="n"/>
      <ns0:c r="BL12" s="31" t="n"/>
    </ns0:row>
    <ns0:row r="13">
      <ns0:c r="A13" s="31" t="n"/>
      <ns0:c r="B13" s="31" t="n"/>
      <ns0:c r="C13" s="31" t="n"/>
      <ns0:c r="D13" s="31" t="n"/>
      <ns0:c r="E13" s="31" t="n"/>
      <ns0:c r="F13" s="31" t="n"/>
      <ns0:c r="G13" s="31" t="n"/>
      <ns0:c r="H13" s="31" t="n"/>
      <ns0:c r="I13" s="31" t="n"/>
      <ns0:c r="J13" s="31" t="n"/>
      <ns0:c r="K13" s="31" t="n"/>
      <ns0:c r="L13" s="31" t="n"/>
      <ns0:c r="M13" s="31" t="n"/>
      <ns0:c r="N13" s="31" t="n"/>
      <ns0:c r="O13" s="31" t="n"/>
      <ns0:c r="P13" s="31" t="n"/>
      <ns0:c r="Q13" s="31" t="n"/>
      <ns0:c r="R13" s="31" t="n"/>
      <ns0:c r="S13" s="31" t="n"/>
      <ns0:c r="T13" s="31" t="n"/>
      <ns0:c r="U13" s="31" t="n"/>
      <ns0:c r="V13" s="31" t="n"/>
      <ns0:c r="W13" s="31" t="n"/>
      <ns0:c r="X13" s="31" t="n"/>
      <ns0:c r="Y13" s="31" t="n"/>
      <ns0:c r="Z13" s="31" t="n"/>
      <ns0:c r="AA13" s="31" t="n"/>
      <ns0:c r="AB13" s="31" t="n"/>
      <ns0:c r="AC13" s="31" t="n"/>
      <ns0:c r="AD13" s="31" t="n"/>
      <ns0:c r="AE13" s="31" t="n"/>
      <ns0:c r="AF13" s="31" t="n"/>
      <ns0:c r="AG13" s="31" t="n"/>
      <ns0:c r="AH13" s="31" t="n"/>
      <ns0:c r="AI13" s="31" t="n"/>
      <ns0:c r="AJ13" s="31" t="n"/>
      <ns0:c r="AK13" s="31" t="n"/>
      <ns0:c r="AL13" s="31" t="n"/>
      <ns0:c r="AM13" s="31" t="n"/>
      <ns0:c r="AN13" s="31" t="n"/>
      <ns0:c r="AO13" s="31" t="n"/>
      <ns0:c r="AP13" s="31" t="n"/>
      <ns0:c r="AQ13" s="31" t="n"/>
      <ns0:c r="AR13" s="31" t="n"/>
      <ns0:c r="AS13" s="31" t="n"/>
      <ns0:c r="AT13" s="31" t="n"/>
      <ns0:c r="AU13" s="31" t="n"/>
      <ns0:c r="AV13" s="31" t="n"/>
      <ns0:c r="AW13" s="31" t="n"/>
      <ns0:c r="AX13" s="31" t="n"/>
      <ns0:c r="AY13" s="31" t="n"/>
      <ns0:c r="AZ13" s="31" t="n"/>
      <ns0:c r="BA13" s="31" t="n"/>
      <ns0:c r="BB13" s="31" t="n"/>
      <ns0:c r="BC13" s="31" t="n"/>
      <ns0:c r="BD13" s="31" t="n"/>
      <ns0:c r="BE13" s="31" t="n"/>
      <ns0:c r="BF13" s="31" t="n"/>
      <ns0:c r="BG13" s="31" t="n"/>
      <ns0:c r="BH13" s="31" t="n"/>
      <ns0:c r="BI13" s="31" t="n"/>
      <ns0:c r="BJ13" s="31" t="n"/>
      <ns0:c r="BK13" s="31" t="n"/>
      <ns0:c r="BL13" s="31" t="n"/>
    </ns0:row>
    <ns0:row r="14">
      <ns0:c r="A14" s="31" t="n"/>
      <ns0:c r="B14" s="31" t="inlineStr">
        <ns0:is>
          <ns0:t>Малые веса и МИН — ₽. От 100 кг — эффективные ₽/кг.</ns0:t>
        </ns0:is>
      </ns0:c>
      <ns0:c r="C14" s="31" t="n"/>
      <ns0:c r="D14" s="31" t="n"/>
      <ns0:c r="E14" s="31" t="n"/>
      <ns0:c r="F14" s="31" t="n"/>
      <ns0:c r="G14" s="31" t="n"/>
      <ns0:c r="H14" s="31" t="n"/>
      <ns0:c r="I14" s="31" t="n"/>
      <ns0:c r="J14" s="31" t="n"/>
      <ns0:c r="K14" s="31" t="n"/>
      <ns0:c r="L14" s="31" t="n"/>
      <ns0:c r="M14" s="31" t="n"/>
      <ns0:c r="N14" s="31" t="n"/>
      <ns0:c r="O14" s="31" t="n"/>
      <ns0:c r="P14" s="31" t="n"/>
      <ns0:c r="Q14" s="31" t="n"/>
      <ns0:c r="R14" s="31" t="n"/>
      <ns0:c r="S14" s="31" t="n"/>
      <ns0:c r="T14" s="31" t="n"/>
      <ns0:c r="U14" s="31" t="n"/>
      <ns0:c r="V14" s="31" t="n"/>
      <ns0:c r="W14" s="31" t="n"/>
      <ns0:c r="X14" s="31" t="n"/>
      <ns0:c r="Y14" s="31" t="n"/>
      <ns0:c r="Z14" s="31" t="n"/>
      <ns0:c r="AA14" s="31" t="n"/>
      <ns0:c r="AB14" s="31" t="n"/>
      <ns0:c r="AC14" s="31" t="n"/>
      <ns0:c r="AD14" s="31" t="n"/>
      <ns0:c r="AE14" s="31" t="n"/>
      <ns0:c r="AF14" s="31" t="n"/>
      <ns0:c r="AG14" s="31" t="n"/>
      <ns0:c r="AH14" s="31" t="n"/>
      <ns0:c r="AI14" s="31" t="n"/>
      <ns0:c r="AJ14" s="31" t="n"/>
      <ns0:c r="AK14" s="31" t="n"/>
      <ns0:c r="AL14" s="31" t="n"/>
      <ns0:c r="AM14" s="31" t="n"/>
      <ns0:c r="AN14" s="31" t="n"/>
      <ns0:c r="AO14" s="31" t="n"/>
      <ns0:c r="AP14" s="31" t="n"/>
      <ns0:c r="AQ14" s="31" t="n"/>
      <ns0:c r="AR14" s="31" t="n"/>
      <ns0:c r="AS14" s="31" t="n"/>
      <ns0:c r="AT14" s="31" t="n"/>
      <ns0:c r="AU14" s="31" t="n"/>
      <ns0:c r="AV14" s="31" t="n"/>
      <ns0:c r="AW14" s="31" t="n"/>
      <ns0:c r="AX14" s="31" t="n"/>
      <ns0:c r="AY14" s="31" t="n"/>
      <ns0:c r="AZ14" s="31" t="n"/>
      <ns0:c r="BA14" s="31" t="n"/>
      <ns0:c r="BB14" s="31" t="n"/>
      <ns0:c r="BC14" s="31" t="n"/>
      <ns0:c r="BD14" s="31" t="n"/>
      <ns0:c r="BE14" s="31" t="n"/>
      <ns0:c r="BF14" s="31" t="n"/>
      <ns0:c r="BG14" s="31" t="n"/>
      <ns0:c r="BH14" s="31" t="n"/>
      <ns0:c r="BI14" s="31" t="n"/>
      <ns0:c r="BJ14" s="31" t="n"/>
      <ns0:c r="BK14" s="31" t="n"/>
      <ns0:c r="BL14" s="31" t="n"/>
    </ns0:row>
    <ns0:row r="15">
      <ns0:c r="A15" s="31" t="n"/>
      <ns0:c r="B15" s="31" t="inlineStr">
        <ns0:is>
          <ns0:t>Экспорт 14.09.2026 16:12</ns0:t>
        </ns0:is>
      </ns0:c>
      <ns0:c r="C15" s="31" t="n"/>
      <ns0:c r="D15" s="31" t="n"/>
      <ns0:c r="E15" s="31" t="n"/>
      <ns0:c r="F15" s="31" t="n"/>
      <ns0:c r="G15" s="31" t="n"/>
      <ns0:c r="H15" s="31" t="n"/>
      <ns0:c r="I15" s="31" t="n"/>
      <ns0:c r="J15" s="31" t="n"/>
      <ns0:c r="K15" s="31" t="n"/>
      <ns0:c r="L15" s="31" t="n"/>
      <ns0:c r="M15" s="31" t="n"/>
      <ns0:c r="N15" s="31" t="n"/>
      <ns0:c r="O15" s="31" t="n"/>
      <ns0:c r="P15" s="31" t="n"/>
      <ns0:c r="Q15" s="31" t="n"/>
      <ns0:c r="R15" s="31" t="n"/>
      <ns0:c r="S15" s="31" t="n"/>
      <ns0:c r="T15" s="31" t="n"/>
      <ns0:c r="U15" s="31" t="n"/>
      <ns0:c r="V15" s="31" t="n"/>
      <ns0:c r="W15" s="31" t="n"/>
      <ns0:c r="X15" s="31" t="n"/>
      <ns0:c r="Y15" s="31" t="n"/>
      <ns0:c r="Z15" s="31" t="n"/>
      <ns0:c r="AA15" s="31" t="n"/>
      <ns0:c r="AB15" s="31" t="n"/>
      <ns0:c r="AC15" s="31" t="n"/>
      <ns0:c r="AD15" s="31" t="n"/>
      <ns0:c r="AE15" s="31" t="n"/>
      <ns0:c r="AF15" s="31" t="n"/>
      <ns0:c r="AG15" s="31" t="n"/>
      <ns0:c r="AH15" s="31" t="n"/>
      <ns0:c r="AI15" s="31" t="n"/>
      <ns0:c r="AJ15" s="31" t="n"/>
      <ns0:c r="AK15" s="31" t="n"/>
      <ns0:c r="AL15" s="31" t="n"/>
      <ns0:c r="AM15" s="31" t="n"/>
      <ns0:c r="AN15" s="31" t="n"/>
      <ns0:c r="AO15" s="31" t="n"/>
      <ns0:c r="AP15" s="31" t="n"/>
      <ns0:c r="AQ15" s="31" t="n"/>
      <ns0:c r="AR15" s="31" t="n"/>
      <ns0:c r="AS15" s="31" t="n"/>
      <ns0:c r="AT15" s="31" t="n"/>
      <ns0:c r="AU15" s="31" t="n"/>
      <ns0:c r="AV15" s="31" t="n"/>
      <ns0:c r="AW15" s="31" t="n"/>
      <ns0:c r="AX15" s="31" t="n"/>
      <ns0:c r="AY15" s="31" t="n"/>
      <ns0:c r="AZ15" s="31" t="n"/>
      <ns0:c r="BA15" s="31" t="n"/>
      <ns0:c r="BB15" s="31" t="n"/>
      <ns0:c r="BC15" s="31" t="n"/>
      <ns0:c r="BD15" s="31" t="n"/>
      <ns0:c r="BE15" s="31" t="n"/>
      <ns0:c r="BF15" s="31" t="n"/>
      <ns0:c r="BG15" s="31" t="n"/>
      <ns0:c r="BH15" s="31" t="n"/>
      <ns0:c r="BI15" s="31" t="n"/>
      <ns0:c r="BJ15" s="31" t="n"/>
      <ns0:c r="BK15" s="31" t="n"/>
      <ns0:c r="BL15" s="31" t="n"/>
    </ns0:row>
    <ns0:row r="16">
      <ns0:c r="A16" s="31" t="n"/>
      <ns0:c r="B16" s="31" t="inlineStr">
        <ns0:is>
          <ns0:t>Москва</ns0:t>
        </ns0:is>
      </ns0:c>
      <ns0:c r="C16" s="31" t="n"/>
      <ns0:c r="D16" s="31" t="n"/>
      <ns0:c r="E16" s="31" t="n"/>
      <ns0:c r="F16" s="31" t="inlineStr">
        <ns0:is>
          <ns0:t>Санкт-Петербург</ns0:t>
        </ns0:is>
      </ns0:c>
      <ns0:c r="G16" s="31" t="n"/>
      <ns0:c r="H16" s="31" t="n"/>
      <ns0:c r="I16" s="31" t="n"/>
      <ns0:c r="J16" s="31" t="n"/>
      <ns0:c r="K16" s="31" t="n"/>
      <ns0:c r="L16" s="31" t="n"/>
      <ns0:c r="M16" s="31" t="n"/>
      <ns0:c r="N16" s="31" t="n"/>
      <ns0:c r="O16" s="31" t="n"/>
      <ns0:c r="P16" s="31" t="n"/>
      <ns0:c r="Q16" s="31" t="n"/>
      <ns0:c r="R16" s="31" t="n"/>
      <ns0:c r="S16" s="31" t="n"/>
      <ns0:c r="T16" s="31" t="n"/>
      <ns0:c r="U16" s="31" t="n"/>
      <ns0:c r="V16" s="31" t="n"/>
      <ns0:c r="W16" s="31" t="n"/>
      <ns0:c r="X16" s="31" t="n"/>
      <ns0:c r="Y16" s="31" t="n"/>
      <ns0:c r="Z16" s="31" t="n"/>
      <ns0:c r="AA16" s="31" t="n"/>
      <ns0:c r="AB16" s="31" t="n"/>
      <ns0:c r="AC16" s="31" t="n"/>
      <ns0:c r="AD16" s="31" t="n"/>
      <ns0:c r="AE16" s="31" t="n"/>
      <ns0:c r="AF16" s="31" t="n"/>
      <ns0:c r="AG16" s="31" t="n"/>
      <ns0:c r="AH16" s="31" t="n"/>
      <ns0:c r="AI16" s="31" t="n"/>
      <ns0:c r="AJ16" s="31" t="n"/>
      <ns0:c r="AK16" s="31" t="n"/>
      <ns0:c r="AL16" s="31" t="n"/>
      <ns0:c r="AM16" s="31" t="n"/>
      <ns0:c r="AN16" s="31" t="n"/>
      <ns0:c r="AO16" s="31" t="n"/>
      <ns0:c r="AP16" s="31" t="n"/>
      <ns0:c r="AQ16" s="31" t="n"/>
      <ns0:c r="AR16" s="31" t="n"/>
      <ns0:c r="AS16" s="31" t="n"/>
      <ns0:c r="AT16" s="31" t="n"/>
      <ns0:c r="AU16" s="31" t="n"/>
      <ns0:c r="AV16" s="31" t="n"/>
      <ns0:c r="AW16" s="31" t="n"/>
      <ns0:c r="AX16" s="31" t="n"/>
      <ns0:c r="AY16" s="31" t="n"/>
      <ns0:c r="AZ16" s="31" t="n"/>
      <ns0:c r="BA16" s="31" t="n"/>
      <ns0:c r="BB16" s="31" t="n"/>
      <ns0:c r="BC16" s="31" t="n"/>
      <ns0:c r="BD16" s="31" t="n"/>
      <ns0:c r="BE16" s="31" t="n"/>
      <ns0:c r="BF16" s="31" t="n"/>
      <ns0:c r="BG16" s="31" t="n"/>
      <ns0:c r="BH16" s="31" t="n"/>
      <ns0:c r="BI16" s="31" t="n"/>
      <ns0:c r="BJ16" s="31" t="n"/>
      <ns0:c r="BK16" s="31" t="n"/>
      <ns0:c r="BL16" s="31" t="n"/>
    </ns0:row>
    <ns0:row r="17">
      <ns0:c r="A17" s="31" t="n"/>
      <ns0:c r="B17" s="31" t="n"/>
      <ns0:c r="C17" s="31" t="n"/>
      <ns0:c r="D17" s="31" t="n"/>
      <ns0:c r="E17" s="31" t="n"/>
      <ns0:c r="F17" s="31" t="n"/>
      <ns0:c r="G17" s="31" t="n"/>
      <ns0:c r="H17" s="31" t="n"/>
      <ns0:c r="I17" s="31" t="n"/>
      <ns0:c r="J17" s="31" t="n"/>
      <ns0:c r="K17" s="31" t="n"/>
      <ns0:c r="L17" s="31" t="n"/>
      <ns0:c r="M17" s="31" t="n"/>
      <ns0:c r="N17" s="31" t="n"/>
      <ns0:c r="O17" s="31" t="n"/>
      <ns0:c r="P17" s="31" t="n"/>
      <ns0:c r="Q17" s="31" t="n"/>
      <ns0:c r="R17" s="31" t="n"/>
      <ns0:c r="S17" s="31" t="n"/>
      <ns0:c r="T17" s="31" t="n"/>
      <ns0:c r="U17" s="31" t="n"/>
      <ns0:c r="V17" s="31" t="n"/>
      <ns0:c r="W17" s="31" t="n"/>
      <ns0:c r="X17" s="31" t="n"/>
      <ns0:c r="Y17" s="31" t="n"/>
      <ns0:c r="Z17" s="31" t="n"/>
      <ns0:c r="AA17" s="31" t="n"/>
      <ns0:c r="AB17" s="31" t="n"/>
      <ns0:c r="AC17" s="31" t="n"/>
      <ns0:c r="AD17" s="31" t="n"/>
      <ns0:c r="AE17" s="31" t="n"/>
      <ns0:c r="AF17" s="31" t="n"/>
      <ns0:c r="AG17" s="31" t="n"/>
      <ns0:c r="AH17" s="31" t="n"/>
      <ns0:c r="AI17" s="31" t="n"/>
      <ns0:c r="AJ17" s="31" t="n"/>
      <ns0:c r="AK17" s="31" t="n"/>
      <ns0:c r="AL17" s="31" t="n"/>
      <ns0:c r="AM17" s="31" t="n"/>
      <ns0:c r="AN17" s="31" t="n"/>
      <ns0:c r="AO17" s="31" t="n"/>
      <ns0:c r="AP17" s="31" t="n"/>
      <ns0:c r="AQ17" s="31" t="n"/>
      <ns0:c r="AR17" s="31" t="n"/>
      <ns0:c r="AS17" s="31" t="n"/>
      <ns0:c r="AT17" s="31" t="n"/>
      <ns0:c r="AU17" s="31" t="n"/>
      <ns0:c r="AV17" s="31" t="n"/>
      <ns0:c r="AW17" s="31" t="n"/>
      <ns0:c r="AX17" s="31" t="n"/>
      <ns0:c r="AY17" s="31" t="n"/>
      <ns0:c r="AZ17" s="31" t="n"/>
      <ns0:c r="BA17" s="31" t="n"/>
      <ns0:c r="BB17" s="31" t="n"/>
      <ns0:c r="BC17" s="31" t="n"/>
      <ns0:c r="BD17" s="31" t="n"/>
      <ns0:c r="BE17" s="31" t="n"/>
      <ns0:c r="BF17" s="31" t="n"/>
      <ns0:c r="BG17" s="31" t="n"/>
      <ns0:c r="BH17" s="31" t="n"/>
      <ns0:c r="BI17" s="31" t="n"/>
      <ns0:c r="BJ17" s="31" t="n"/>
      <ns0:c r="BK17" s="31" t="n"/>
      <ns0:c r="BL17" s="31" t="n"/>
    </ns0:row>
    <ns0:row r="18" ht="42" customHeight="1">
      <ns0:c r="A18" s="31" t="n"/>
      <ns0:c r="B18" s="24" t="inlineStr">
        <ns0:is>
          <ns0:t>Компания</ns0:t>
        </ns0:is>
      </ns0:c>
      <ns0:c r="C18" s="31" t="inlineStr">
        <ns0:is>
          <ns0:t>Включена</ns0:t>
        </ns0:is>
      </ns0:c>
      <ns0:c r="D18" s="24" t="inlineStr">
        <ns0:is>
          <ns0:t>в</ns0:t>
        </ns0:is>
      </ns0:c>
      <ns0:c r="E18" s="24" t="inlineStr">
        <ns0:is>
          <ns0:t>0-1кг</ns0:t>
        </ns0:is>
      </ns0:c>
      <ns0:c r="F18" s="24" t="inlineStr">
        <ns0:is>
          <ns0:t xml:space="preserve">  1-3кг</ns0:t>
        </ns0:is>
      </ns0:c>
      <ns0:c r="G18" s="24" t="inlineStr">
        <ns0:is>
          <ns0:t xml:space="preserve">  3-5кг</ns0:t>
        </ns0:is>
      </ns0:c>
      <ns0:c r="H18" s="24" t="inlineStr">
        <ns0:is>
          <ns0:t xml:space="preserve">  5-10кг</ns0:t>
        </ns0:is>
      </ns0:c>
      <ns0:c r="I18" s="24" t="inlineStr">
        <ns0:is>
          <ns0:t xml:space="preserve">  10-15кг</ns0:t>
        </ns0:is>
      </ns0:c>
      <ns0:c r="J18" s="24" t="inlineStr">
        <ns0:is>
          <ns0:t xml:space="preserve">  15-20кг</ns0:t>
        </ns0:is>
      </ns0:c>
      <ns0:c r="K18" s="24" t="inlineStr">
        <ns0:is>
          <ns0:t xml:space="preserve">  20-35кг</ns0:t>
        </ns0:is>
      </ns0:c>
      <ns0:c r="L18" s="24" t="inlineStr">
        <ns0:is>
          <ns0:t>35-40кг</ns0:t>
        </ns0:is>
      </ns0:c>
      <ns0:c r="M18" s="24" t="inlineStr">
        <ns0:is>
          <ns0:t xml:space="preserve">  40-50кг</ns0:t>
        </ns0:is>
      </ns0:c>
      <ns0:c r="N18" s="24" t="inlineStr">
        <ns0:is>
          <ns0:t>МИН</ns0:t>
        </ns0:is>
      </ns0:c>
      <ns0:c r="O18" s="24" t="inlineStr">
        <ns0:is>
          <ns0:t>до 100кг</ns0:t>
        </ns0:is>
      </ns0:c>
      <ns0:c r="P18" s="24" t="inlineStr">
        <ns0:is>
          <ns0:t>до 200кг</ns0:t>
        </ns0:is>
      </ns0:c>
      <ns0:c r="Q18" s="24" t="inlineStr">
        <ns0:is>
          <ns0:t>до 250кг</ns0:t>
        </ns0:is>
      </ns0:c>
      <ns0:c r="R18" s="24" t="inlineStr">
        <ns0:is>
          <ns0:t>до 300кг</ns0:t>
        </ns0:is>
      </ns0:c>
      <ns0:c r="S18" s="24" t="inlineStr">
        <ns0:is>
          <ns0:t>до 400кг</ns0:t>
        </ns0:is>
      </ns0:c>
      <ns0:c r="T18" s="24" t="inlineStr">
        <ns0:is>
          <ns0:t>до 500кг</ns0:t>
        </ns0:is>
      </ns0:c>
      <ns0:c r="U18" s="24" t="inlineStr">
        <ns0:is>
          <ns0:t>до 600кг</ns0:t>
        </ns0:is>
      </ns0:c>
      <ns0:c r="V18" s="24" t="inlineStr">
        <ns0:is>
          <ns0:t>до 700кг</ns0:t>
        </ns0:is>
      </ns0:c>
      <ns0:c r="W18" s="24" t="inlineStr">
        <ns0:is>
          <ns0:t>до 750кг</ns0:t>
        </ns0:is>
      </ns0:c>
      <ns0:c r="X18" s="24" t="inlineStr">
        <ns0:is>
          <ns0:t>до 800кг</ns0:t>
        </ns0:is>
      </ns0:c>
      <ns0:c r="Y18" s="24" t="inlineStr">
        <ns0:is>
          <ns0:t>до 1000кг</ns0:t>
        </ns0:is>
      </ns0:c>
      <ns0:c r="Z18" s="24" t="inlineStr">
        <ns0:is>
          <ns0:t>до 1200кг</ns0:t>
        </ns0:is>
      </ns0:c>
      <ns0:c r="AA18" s="24" t="inlineStr">
        <ns0:is>
          <ns0:t>до 1500кг</ns0:t>
        </ns0:is>
      </ns0:c>
      <ns0:c r="AB18" s="24" t="inlineStr">
        <ns0:is>
          <ns0:t>до 2000кг</ns0:t>
        </ns0:is>
      </ns0:c>
      <ns0:c r="AC18" s="24" t="inlineStr">
        <ns0:is>
          <ns0:t>до 2500кг</ns0:t>
        </ns0:is>
      </ns0:c>
      <ns0:c r="AD18" s="24" t="inlineStr">
        <ns0:is>
          <ns0:t>до 3000кг</ns0:t>
        </ns0:is>
      </ns0:c>
      <ns0:c r="AE18" s="24" t="inlineStr">
        <ns0:is>
          <ns0:t>до 5000кг</ns0:t>
        </ns0:is>
      </ns0:c>
      <ns0:c r="AF18" s="24" t="inlineStr">
        <ns0:is>
          <ns0:t>до 10000кг</ns0:t>
        </ns0:is>
      </ns0:c>
      <ns0:c r="AG18" s="24" t="inlineStr">
        <ns0:is>
          <ns0:t>до 20000кг</ns0:t>
        </ns0:is>
      </ns0:c>
      <ns0:c r="AH18" s="31" t="n"/>
      <ns0:c r="AI18" s="24" t="inlineStr">
        <ns0:is>
          <ns0:t>0,2- 0,4</ns0:t>
        </ns0:is>
      </ns0:c>
      <ns0:c r="AJ18" s="24" t="inlineStr">
        <ns0:is>
          <ns0:t>0,4-0,6</ns0:t>
        </ns0:is>
      </ns0:c>
      <ns0:c r="AK18" s="24" t="inlineStr">
        <ns0:is>
          <ns0:t>0,6-0,8</ns0:t>
        </ns0:is>
      </ns0:c>
      <ns0:c r="AL18" s="24" t="inlineStr">
        <ns0:is>
          <ns0:t>0,8-1,1</ns0:t>
        </ns0:is>
      </ns0:c>
      <ns0:c r="AM18" s="24" t="inlineStr">
        <ns0:is>
          <ns0:t>1,1-1,2</ns0:t>
        </ns0:is>
      </ns0:c>
      <ns0:c r="AN18" s="24" t="inlineStr">
        <ns0:is>
          <ns0:t>1,2-1,3</ns0:t>
        </ns0:is>
      </ns0:c>
      <ns0:c r="AO18" s="24" t="inlineStr">
        <ns0:is>
          <ns0:t>1,3-1,5</ns0:t>
        </ns0:is>
      </ns0:c>
      <ns0:c r="AP18" s="24" t="inlineStr">
        <ns0:is>
          <ns0:t>1,5-1,8</ns0:t>
        </ns0:is>
      </ns0:c>
      <ns0:c r="AQ18" s="24" t="inlineStr">
        <ns0:is>
          <ns0:t>1,8-2</ns0:t>
        </ns0:is>
      </ns0:c>
      <ns0:c r="AR18" s="24" t="inlineStr">
        <ns0:is>
          <ns0:t>2-2,3</ns0:t>
        </ns0:is>
      </ns0:c>
      <ns0:c r="AS18" s="24" t="inlineStr">
        <ns0:is>
          <ns0:t>2,3-2,5</ns0:t>
        </ns0:is>
      </ns0:c>
      <ns0:c r="AT18" s="24" t="inlineStr">
        <ns0:is>
          <ns0:t>2,5-3</ns0:t>
        </ns0:is>
      </ns0:c>
      <ns0:c r="AU18" s="24" t="inlineStr">
        <ns0:is>
          <ns0:t>3-3,2</ns0:t>
        </ns0:is>
      </ns0:c>
      <ns0:c r="AV18" s="24" t="inlineStr">
        <ns0:is>
          <ns0:t>3,2-3,6</ns0:t>
        </ns0:is>
      </ns0:c>
      <ns0:c r="AW18" s="24" t="inlineStr">
        <ns0:is>
          <ns0:t>3,6-4</ns0:t>
        </ns0:is>
      </ns0:c>
      <ns0:c r="AX18" s="24" t="inlineStr">
        <ns0:is>
          <ns0:t>4--5</ns0:t>
        </ns0:is>
      </ns0:c>
      <ns0:c r="AY18" s="24" t="inlineStr">
        <ns0:is>
          <ns0:t>5-5,5</ns0:t>
        </ns0:is>
      </ns0:c>
      <ns0:c r="AZ18" s="24" t="inlineStr">
        <ns0:is>
          <ns0:t>5,5-5,8</ns0:t>
        </ns0:is>
      </ns0:c>
      <ns0:c r="BA18" s="24" t="inlineStr">
        <ns0:is>
          <ns0:t>5,8-6</ns0:t>
        </ns0:is>
      </ns0:c>
      <ns0:c r="BB18" s="24" t="inlineStr">
        <ns0:is>
          <ns0:t>6--7</ns0:t>
        </ns0:is>
      </ns0:c>
      <ns0:c r="BC18" s="24" t="inlineStr">
        <ns0:is>
          <ns0:t>7-7,5</ns0:t>
        </ns0:is>
      </ns0:c>
      <ns0:c r="BD18" s="24" t="inlineStr">
        <ns0:is>
          <ns0:t>7,5-8</ns0:t>
        </ns0:is>
      </ns0:c>
      <ns0:c r="BE18" s="24" t="inlineStr">
        <ns0:is>
          <ns0:t>8--10</ns0:t>
        </ns0:is>
      </ns0:c>
      <ns0:c r="BF18" s="24" t="inlineStr">
        <ns0:is>
          <ns0:t>10--12</ns0:t>
        </ns0:is>
      </ns0:c>
      <ns0:c r="BG18" s="24" t="inlineStr">
        <ns0:is>
          <ns0:t>12--15</ns0:t>
        </ns0:is>
      </ns0:c>
      <ns0:c r="BH18" s="24" t="inlineStr">
        <ns0:is>
          <ns0:t>15--20</ns0:t>
        </ns0:is>
      </ns0:c>
      <ns0:c r="BI18" s="24" t="inlineStr">
        <ns0:is>
          <ns0:t>20--25</ns0:t>
        </ns0:is>
      </ns0:c>
      <ns0:c r="BJ18" s="24" t="inlineStr">
        <ns0:is>
          <ns0:t>25--40</ns0:t>
        </ns0:is>
      </ns0:c>
      <ns0:c r="BK18" s="24" t="inlineStr">
        <ns0:is>
          <ns0:t>40--45</ns0:t>
        </ns0:is>
      </ns0:c>
      <ns0:c r="BL18" s="31" t="n"/>
    </ns0:row>
    <ns0:row r="19">
      <ns0:c r="A19" s="31" t="n"/>
      <ns0:c r="B19" s="31" t="inlineStr">
        <ns0:is>
          <ns0:t>WernerNEW</ns0:t>
        </ns0:is>
      </ns0:c>
      <ns0:c r="C19" s="31" t="b">
        <ns0:v>1</ns0:v>
      </ns0:c>
      <ns0:c r="D19" s="31" t="n"/>
      <ns0:c r="E19" s="31">
        <ns0:f>'рабочий'!D4</ns0:f>
        <ns0:v>246.0</ns0:v>
      </ns0:c>
      <ns0:c r="F19" s="31">
        <ns0:f>'рабочий'!E4</ns0:f>
        <ns0:v>246.0</ns0:v>
      </ns0:c>
      <ns0:c r="G19" s="31">
        <ns0:f>'рабочий'!F4</ns0:f>
        <ns0:v>246.0</ns0:v>
      </ns0:c>
      <ns0:c r="H19" s="31">
        <ns0:f>'рабочий'!G4</ns0:f>
        <ns0:v>453.0</ns0:v>
      </ns0:c>
      <ns0:c r="I19" s="31">
        <ns0:f>'рабочий'!H4</ns0:f>
        <ns0:v>453.0</ns0:v>
      </ns0:c>
      <ns0:c r="J19" s="31">
        <ns0:f>'рабочий'!I4</ns0:f>
        <ns0:v>453.0</ns0:v>
      </ns0:c>
      <ns0:c r="K19" s="31">
        <ns0:f>'рабочий'!J4</ns0:f>
        <ns0:v>510.0</ns0:v>
      </ns0:c>
      <ns0:c r="L19" s="31">
        <ns0:f>'рабочий'!K4</ns0:f>
        <ns0:v>570.0</ns0:v>
      </ns0:c>
      <ns0:c r="M19" s="31">
        <ns0:f>'рабочий'!L4</ns0:f>
        <ns0:v>700.0</ns0:v>
      </ns0:c>
      <ns0:c r="N19" s="31">
        <ns0:f>'рабочий'!M4</ns0:f>
        <ns0:v>246.0</ns0:v>
      </ns0:c>
      <ns0:c r="O19" s="32">
        <ns0:f>'рабочий'!N4</ns0:f>
        <ns0:v>14.0</ns0:v>
      </ns0:c>
      <ns0:c r="P19" s="32">
        <ns0:f>'рабочий'!O4</ns0:f>
        <ns0:v>13.25</ns0:v>
      </ns0:c>
      <ns0:c r="Q19" s="32">
        <ns0:f>'рабочий'!P4</ns0:f>
        <ns0:v>13.148</ns0:v>
      </ns0:c>
      <ns0:c r="R19" s="32">
        <ns0:f>'рабочий'!Q4</ns0:f>
        <ns0:v>13.0833</ns0:v>
      </ns0:c>
      <ns0:c r="S19" s="32">
        <ns0:f>'рабочий'!R4</ns0:f>
        <ns0:v>13.0</ns0:v>
      </ns0:c>
      <ns0:c r="T19" s="32">
        <ns0:f>'рабочий'!S4</ns0:f>
        <ns0:v>12.95</ns0:v>
      </ns0:c>
      <ns0:c r="U19" s="32">
        <ns0:f>'рабочий'!T4</ns0:f>
        <ns0:v>12.54</ns0:v>
      </ns0:c>
      <ns0:c r="V19" s="32">
        <ns0:f>'рабочий'!U4</ns0:f>
        <ns0:v>12.5186</ns0:v>
      </ns0:c>
      <ns0:c r="W19" s="32">
        <ns0:f>'рабочий'!V4</ns0:f>
        <ns0:v>12.508</ns0:v>
      </ns0:c>
      <ns0:c r="X19" s="32">
        <ns0:f>'рабочий'!W4</ns0:f>
        <ns0:v>12.5</ns0:v>
      </ns0:c>
      <ns0:c r="Y19" s="32">
        <ns0:f>'рабочий'!X4</ns0:f>
        <ns0:v>11.851</ns0:v>
      </ns0:c>
      <ns0:c r="Z19" s="32">
        <ns0:f>'рабочий'!Y4</ns0:f>
        <ns0:v>11.8333</ns0:v>
      </ns0:c>
      <ns0:c r="AA19" s="32">
        <ns0:f>'рабочий'!Z4</ns0:f>
        <ns0:v>11.816</ns0:v>
      </ns0:c>
      <ns0:c r="AB19" s="32">
        <ns0:f>'рабочий'!AA4</ns0:f>
        <ns0:v>11.1745</ns0:v>
      </ns0:c>
      <ns0:c r="AC19" s="32">
        <ns0:f>'рабочий'!AB4</ns0:f>
        <ns0:v>11.1652</ns0:v>
      </ns0:c>
      <ns0:c r="AD19" s="32">
        <ns0:f>'рабочий'!AC4</ns0:f>
        <ns0:v>11.0333</ns0:v>
      </ns0:c>
      <ns0:c r="AE19" s="32">
        <ns0:f>'рабочий'!AD4</ns0:f>
        <ns0:v>11.0198</ns0:v>
      </ns0:c>
      <ns0:c r="AF19" s="32">
        <ns0:f>'рабочий'!AE4</ns0:f>
        <ns0:v>11.0097</ns0:v>
      </ns0:c>
      <ns0:c r="AG19" s="32">
        <ns0:f>'рабочий'!AF4</ns0:f>
        <ns0:v>11.0051</ns0:v>
      </ns0:c>
      <ns0:c r="AH19" s="31" t="n"/>
      <ns0:c r="AI19" s="31" t="inlineStr">
        <ns0:is>
          <ns0:t>не собрано</ns0:t>
        </ns0:is>
      </ns0:c>
      <ns0:c r="AJ19" s="31" t="inlineStr">
        <ns0:is>
          <ns0:t>не собрано</ns0:t>
        </ns0:is>
      </ns0:c>
      <ns0:c r="AK19" s="31" t="inlineStr">
        <ns0:is>
          <ns0:t>не собрано</ns0:t>
        </ns0:is>
      </ns0:c>
      <ns0:c r="AL19" s="31" t="inlineStr">
        <ns0:is>
          <ns0:t>не собрано</ns0:t>
        </ns0:is>
      </ns0:c>
      <ns0:c r="AM19" s="31" t="inlineStr">
        <ns0:is>
          <ns0:t>не собрано</ns0:t>
        </ns0:is>
      </ns0:c>
      <ns0:c r="AN19" s="31" t="inlineStr">
        <ns0:is>
          <ns0:t>не собрано</ns0:t>
        </ns0:is>
      </ns0:c>
      <ns0:c r="AO19" s="31" t="inlineStr">
        <ns0:is>
          <ns0:t>не собрано</ns0:t>
        </ns0:is>
      </ns0:c>
      <ns0:c r="AP19" s="31" t="inlineStr">
        <ns0:is>
          <ns0:t>не собрано</ns0:t>
        </ns0:is>
      </ns0:c>
      <ns0:c r="AQ19" s="31" t="inlineStr">
        <ns0:is>
          <ns0:t>не собрано</ns0:t>
        </ns0:is>
      </ns0:c>
      <ns0:c r="AR19" s="31" t="inlineStr">
        <ns0:is>
          <ns0:t>не собрано</ns0:t>
        </ns0:is>
      </ns0:c>
      <ns0:c r="AS19" s="31" t="inlineStr">
        <ns0:is>
          <ns0:t>не собрано</ns0:t>
        </ns0:is>
      </ns0:c>
      <ns0:c r="AT19" s="31" t="inlineStr">
        <ns0:is>
          <ns0:t>не собрано</ns0:t>
        </ns0:is>
      </ns0:c>
      <ns0:c r="AU19" s="31" t="inlineStr">
        <ns0:is>
          <ns0:t>не собрано</ns0:t>
        </ns0:is>
      </ns0:c>
      <ns0:c r="AV19" s="31" t="inlineStr">
        <ns0:is>
          <ns0:t>не собрано</ns0:t>
        </ns0:is>
      </ns0:c>
      <ns0:c r="AW19" s="31" t="inlineStr">
        <ns0:is>
          <ns0:t>не собрано</ns0:t>
        </ns0:is>
      </ns0:c>
      <ns0:c r="AX19" s="31" t="inlineStr">
        <ns0:is>
          <ns0:t>не собрано</ns0:t>
        </ns0:is>
      </ns0:c>
      <ns0:c r="AY19" s="31" t="inlineStr">
        <ns0:is>
          <ns0:t>не собрано</ns0:t>
        </ns0:is>
      </ns0:c>
      <ns0:c r="AZ19" s="31" t="inlineStr">
        <ns0:is>
          <ns0:t>не собрано</ns0:t>
        </ns0:is>
      </ns0:c>
      <ns0:c r="BA19" s="31" t="inlineStr">
        <ns0:is>
          <ns0:t>не собрано</ns0:t>
        </ns0:is>
      </ns0:c>
      <ns0:c r="BB19" s="31" t="inlineStr">
        <ns0:is>
          <ns0:t>не собрано</ns0:t>
        </ns0:is>
      </ns0:c>
      <ns0:c r="BC19" s="31" t="inlineStr">
        <ns0:is>
          <ns0:t>не собрано</ns0:t>
        </ns0:is>
      </ns0:c>
      <ns0:c r="BD19" s="31" t="inlineStr">
        <ns0:is>
          <ns0:t>не собрано</ns0:t>
        </ns0:is>
      </ns0:c>
      <ns0:c r="BE19" s="31" t="inlineStr">
        <ns0:is>
          <ns0:t>не собрано</ns0:t>
        </ns0:is>
      </ns0:c>
      <ns0:c r="BF19" s="31" t="inlineStr">
        <ns0:is>
          <ns0:t>не собрано</ns0:t>
        </ns0:is>
      </ns0:c>
      <ns0:c r="BG19" s="31" t="inlineStr">
        <ns0:is>
          <ns0:t>не собрано</ns0:t>
        </ns0:is>
      </ns0:c>
      <ns0:c r="BH19" s="31" t="inlineStr">
        <ns0:is>
          <ns0:t>не собрано</ns0:t>
        </ns0:is>
      </ns0:c>
      <ns0:c r="BI19" s="31" t="inlineStr">
        <ns0:is>
          <ns0:t>не собрано</ns0:t>
        </ns0:is>
      </ns0:c>
      <ns0:c r="BJ19" s="31" t="inlineStr">
        <ns0:is>
          <ns0:t>не собрано</ns0:t>
        </ns0:is>
      </ns0:c>
      <ns0:c r="BK19" s="31" t="inlineStr">
        <ns0:is>
          <ns0:t>не собрано</ns0:t>
        </ns0:is>
      </ns0:c>
      <ns0:c r="BL19" s="31" t="inlineStr">
        <ns0:is>
          <ns0:t>не собрано</ns0:t>
        </ns0:is>
      </ns0:c>
    </ns0:row>
    <ns0:row r="20">
      <ns0:c r="A20" s="31" t="n"/>
      <ns0:c r="B20" s="31" t="inlineStr">
        <ns0:is>
          <ns0:t>WernerOld</ns0:t>
        </ns0:is>
      </ns0:c>
      <ns0:c r="C20" s="31" t="b">
        <ns0:v>0</ns0:v>
      </ns0:c>
      <ns0:c r="D20" s="31" t="n"/>
      <ns0:c r="E20" s="31" t="str">
        <ns0:f>'рабочий'!D5</ns0:f>
        <ns0:v>не выбрана</ns0:v>
      </ns0:c>
      <ns0:c r="F20" s="31" t="str">
        <ns0:f>'рабочий'!E5</ns0:f>
        <ns0:v>не выбрана</ns0:v>
      </ns0:c>
      <ns0:c r="G20" s="31" t="str">
        <ns0:f>'рабочий'!F5</ns0:f>
        <ns0:v>не выбрана</ns0:v>
      </ns0:c>
      <ns0:c r="H20" s="31" t="str">
        <ns0:f>'рабочий'!G5</ns0:f>
        <ns0:v>не выбрана</ns0:v>
      </ns0:c>
      <ns0:c r="I20" s="31" t="str">
        <ns0:f>'рабочий'!H5</ns0:f>
        <ns0:v>не выбрана</ns0:v>
      </ns0:c>
      <ns0:c r="J20" s="31" t="str">
        <ns0:f>'рабочий'!I5</ns0:f>
        <ns0:v>не выбрана</ns0:v>
      </ns0:c>
      <ns0:c r="K20" s="31" t="str">
        <ns0:f>'рабочий'!J5</ns0:f>
        <ns0:v>не выбрана</ns0:v>
      </ns0:c>
      <ns0:c r="L20" s="31" t="str">
        <ns0:f>'рабочий'!K5</ns0:f>
        <ns0:v>не выбрана</ns0:v>
      </ns0:c>
      <ns0:c r="M20" s="31" t="str">
        <ns0:f>'рабочий'!L5</ns0:f>
        <ns0:v>не выбрана</ns0:v>
      </ns0:c>
      <ns0:c r="N20" s="31" t="str">
        <ns0:f>'рабочий'!M5</ns0:f>
        <ns0:v>не выбрана</ns0:v>
      </ns0:c>
      <ns0:c r="O20" s="32" t="str">
        <ns0:f>'рабочий'!N5</ns0:f>
        <ns0:v>не выбрана</ns0:v>
      </ns0:c>
      <ns0:c r="P20" s="32" t="str">
        <ns0:f>'рабочий'!O5</ns0:f>
        <ns0:v>не выбрана</ns0:v>
      </ns0:c>
      <ns0:c r="Q20" s="32" t="str">
        <ns0:f>'рабочий'!P5</ns0:f>
        <ns0:v>не выбрана</ns0:v>
      </ns0:c>
      <ns0:c r="R20" s="32" t="str">
        <ns0:f>'рабочий'!Q5</ns0:f>
        <ns0:v>не выбрана</ns0:v>
      </ns0:c>
      <ns0:c r="S20" s="32" t="str">
        <ns0:f>'рабочий'!R5</ns0:f>
        <ns0:v>не выбрана</ns0:v>
      </ns0:c>
      <ns0:c r="T20" s="32" t="str">
        <ns0:f>'рабочий'!S5</ns0:f>
        <ns0:v>не выбрана</ns0:v>
      </ns0:c>
      <ns0:c r="U20" s="32" t="str">
        <ns0:f>'рабочий'!T5</ns0:f>
        <ns0:v>не выбрана</ns0:v>
      </ns0:c>
      <ns0:c r="V20" s="32" t="str">
        <ns0:f>'рабочий'!U5</ns0:f>
        <ns0:v>не выбрана</ns0:v>
      </ns0:c>
      <ns0:c r="W20" s="32" t="str">
        <ns0:f>'рабочий'!V5</ns0:f>
        <ns0:v>не выбрана</ns0:v>
      </ns0:c>
      <ns0:c r="X20" s="32" t="str">
        <ns0:f>'рабочий'!W5</ns0:f>
        <ns0:v>не выбрана</ns0:v>
      </ns0:c>
      <ns0:c r="Y20" s="32" t="str">
        <ns0:f>'рабочий'!X5</ns0:f>
        <ns0:v>не выбрана</ns0:v>
      </ns0:c>
      <ns0:c r="Z20" s="32" t="str">
        <ns0:f>'рабочий'!Y5</ns0:f>
        <ns0:v>не выбрана</ns0:v>
      </ns0:c>
      <ns0:c r="AA20" s="32" t="str">
        <ns0:f>'рабочий'!Z5</ns0:f>
        <ns0:v>не выбрана</ns0:v>
      </ns0:c>
      <ns0:c r="AB20" s="32" t="str">
        <ns0:f>'рабочий'!AA5</ns0:f>
        <ns0:v>не выбрана</ns0:v>
      </ns0:c>
      <ns0:c r="AC20" s="32" t="str">
        <ns0:f>'рабочий'!AB5</ns0:f>
        <ns0:v>не выбрана</ns0:v>
      </ns0:c>
      <ns0:c r="AD20" s="32" t="str">
        <ns0:f>'рабочий'!AC5</ns0:f>
        <ns0:v>не выбрана</ns0:v>
      </ns0:c>
      <ns0:c r="AE20" s="32" t="str">
        <ns0:f>'рабочий'!AD5</ns0:f>
        <ns0:v>не выбрана</ns0:v>
      </ns0:c>
      <ns0:c r="AF20" s="32" t="str">
        <ns0:f>'рабочий'!AE5</ns0:f>
        <ns0:v>не выбрана</ns0:v>
      </ns0:c>
      <ns0:c r="AG20" s="32" t="str">
        <ns0:f>'рабочий'!AF5</ns0:f>
        <ns0:v>не выбрана</ns0:v>
      </ns0:c>
      <ns0:c r="AH20" s="31" t="n"/>
      <ns0:c r="AI20" s="31" t="inlineStr">
        <ns0:is>
          <ns0:t>не собрано</ns0:t>
        </ns0:is>
      </ns0:c>
      <ns0:c r="AJ20" s="31" t="inlineStr">
        <ns0:is>
          <ns0:t>не собрано</ns0:t>
        </ns0:is>
      </ns0:c>
      <ns0:c r="AK20" s="31" t="inlineStr">
        <ns0:is>
          <ns0:t>не собрано</ns0:t>
        </ns0:is>
      </ns0:c>
      <ns0:c r="AL20" s="31" t="inlineStr">
        <ns0:is>
          <ns0:t>не собрано</ns0:t>
        </ns0:is>
      </ns0:c>
      <ns0:c r="AM20" s="31" t="inlineStr">
        <ns0:is>
          <ns0:t>не собрано</ns0:t>
        </ns0:is>
      </ns0:c>
      <ns0:c r="AN20" s="31" t="inlineStr">
        <ns0:is>
          <ns0:t>не собрано</ns0:t>
        </ns0:is>
      </ns0:c>
      <ns0:c r="AO20" s="31" t="inlineStr">
        <ns0:is>
          <ns0:t>не собрано</ns0:t>
        </ns0:is>
      </ns0:c>
      <ns0:c r="AP20" s="31" t="inlineStr">
        <ns0:is>
          <ns0:t>не собрано</ns0:t>
        </ns0:is>
      </ns0:c>
      <ns0:c r="AQ20" s="31" t="inlineStr">
        <ns0:is>
          <ns0:t>не собрано</ns0:t>
        </ns0:is>
      </ns0:c>
      <ns0:c r="AR20" s="31" t="inlineStr">
        <ns0:is>
          <ns0:t>не собрано</ns0:t>
        </ns0:is>
      </ns0:c>
      <ns0:c r="AS20" s="31" t="inlineStr">
        <ns0:is>
          <ns0:t>не собрано</ns0:t>
        </ns0:is>
      </ns0:c>
      <ns0:c r="AT20" s="31" t="inlineStr">
        <ns0:is>
          <ns0:t>не собрано</ns0:t>
        </ns0:is>
      </ns0:c>
      <ns0:c r="AU20" s="31" t="inlineStr">
        <ns0:is>
          <ns0:t>не собрано</ns0:t>
        </ns0:is>
      </ns0:c>
      <ns0:c r="AV20" s="31" t="inlineStr">
        <ns0:is>
          <ns0:t>не собрано</ns0:t>
        </ns0:is>
      </ns0:c>
      <ns0:c r="AW20" s="31" t="inlineStr">
        <ns0:is>
          <ns0:t>не собрано</ns0:t>
        </ns0:is>
      </ns0:c>
      <ns0:c r="AX20" s="31" t="inlineStr">
        <ns0:is>
          <ns0:t>не собрано</ns0:t>
        </ns0:is>
      </ns0:c>
      <ns0:c r="AY20" s="31" t="inlineStr">
        <ns0:is>
          <ns0:t>не собрано</ns0:t>
        </ns0:is>
      </ns0:c>
      <ns0:c r="AZ20" s="31" t="inlineStr">
        <ns0:is>
          <ns0:t>не собрано</ns0:t>
        </ns0:is>
      </ns0:c>
      <ns0:c r="BA20" s="31" t="inlineStr">
        <ns0:is>
          <ns0:t>не собрано</ns0:t>
        </ns0:is>
      </ns0:c>
      <ns0:c r="BB20" s="31" t="inlineStr">
        <ns0:is>
          <ns0:t>не собрано</ns0:t>
        </ns0:is>
      </ns0:c>
      <ns0:c r="BC20" s="31" t="inlineStr">
        <ns0:is>
          <ns0:t>не собрано</ns0:t>
        </ns0:is>
      </ns0:c>
      <ns0:c r="BD20" s="31" t="inlineStr">
        <ns0:is>
          <ns0:t>не собрано</ns0:t>
        </ns0:is>
      </ns0:c>
      <ns0:c r="BE20" s="31" t="inlineStr">
        <ns0:is>
          <ns0:t>не собрано</ns0:t>
        </ns0:is>
      </ns0:c>
      <ns0:c r="BF20" s="31" t="inlineStr">
        <ns0:is>
          <ns0:t>не собрано</ns0:t>
        </ns0:is>
      </ns0:c>
      <ns0:c r="BG20" s="31" t="inlineStr">
        <ns0:is>
          <ns0:t>не собрано</ns0:t>
        </ns0:is>
      </ns0:c>
      <ns0:c r="BH20" s="31" t="inlineStr">
        <ns0:is>
          <ns0:t>не собрано</ns0:t>
        </ns0:is>
      </ns0:c>
      <ns0:c r="BI20" s="31" t="inlineStr">
        <ns0:is>
          <ns0:t>не собрано</ns0:t>
        </ns0:is>
      </ns0:c>
      <ns0:c r="BJ20" s="31" t="inlineStr">
        <ns0:is>
          <ns0:t>не собрано</ns0:t>
        </ns0:is>
      </ns0:c>
      <ns0:c r="BK20" s="31" t="inlineStr">
        <ns0:is>
          <ns0:t>не собрано</ns0:t>
        </ns0:is>
      </ns0:c>
      <ns0:c r="BL20" s="31" t="inlineStr">
        <ns0:is>
          <ns0:t>не собрано</ns0:t>
        </ns0:is>
      </ns0:c>
    </ns0:row>
    <ns0:row r="21">
      <ns0:c r="A21" s="31" t="n"/>
      <ns0:c r="B21" s="31" t="inlineStr">
        <ns0:is>
          <ns0:t>ДЛ</ns0:t>
        </ns0:is>
      </ns0:c>
      <ns0:c r="C21" s="31" t="b">
        <ns0:v>1</ns0:v>
      </ns0:c>
      <ns0:c r="D21" s="31" t="n"/>
      <ns0:c r="E21" s="31" t="str">
        <ns0:f>'рабочий'!D6</ns0:f>
        <ns0:v>нет данных</ns0:v>
      </ns0:c>
      <ns0:c r="F21" s="31" t="str">
        <ns0:f>'рабочий'!E6</ns0:f>
        <ns0:v>нет данных</ns0:v>
      </ns0:c>
      <ns0:c r="G21" s="31" t="str">
        <ns0:f>'рабочий'!F6</ns0:f>
        <ns0:v>нет данных</ns0:v>
      </ns0:c>
      <ns0:c r="H21" s="31" t="str">
        <ns0:f>'рабочий'!G6</ns0:f>
        <ns0:v>нет данных</ns0:v>
      </ns0:c>
      <ns0:c r="I21" s="31" t="str">
        <ns0:f>'рабочий'!H6</ns0:f>
        <ns0:v>нет данных</ns0:v>
      </ns0:c>
      <ns0:c r="J21" s="31" t="str">
        <ns0:f>'рабочий'!I6</ns0:f>
        <ns0:v>нет данных</ns0:v>
      </ns0:c>
      <ns0:c r="K21" s="31" t="str">
        <ns0:f>'рабочий'!J6</ns0:f>
        <ns0:v>нет данных</ns0:v>
      </ns0:c>
      <ns0:c r="L21" s="31" t="str">
        <ns0:f>'рабочий'!K6</ns0:f>
        <ns0:v>нет данных</ns0:v>
      </ns0:c>
      <ns0:c r="M21" s="31" t="str">
        <ns0:f>'рабочий'!L6</ns0:f>
        <ns0:v>нет данных</ns0:v>
      </ns0:c>
      <ns0:c r="N21" s="31" t="str">
        <ns0:f>'рабочий'!M6</ns0:f>
        <ns0:v>нет данных</ns0:v>
      </ns0:c>
      <ns0:c r="O21" s="32" t="str">
        <ns0:f>'рабочий'!N6</ns0:f>
        <ns0:v>нет данных</ns0:v>
      </ns0:c>
      <ns0:c r="P21" s="32" t="str">
        <ns0:f>'рабочий'!O6</ns0:f>
        <ns0:v>нет данных</ns0:v>
      </ns0:c>
      <ns0:c r="Q21" s="32" t="str">
        <ns0:f>'рабочий'!P6</ns0:f>
        <ns0:v>нет данных</ns0:v>
      </ns0:c>
      <ns0:c r="R21" s="32" t="str">
        <ns0:f>'рабочий'!Q6</ns0:f>
        <ns0:v>нет данных</ns0:v>
      </ns0:c>
      <ns0:c r="S21" s="32" t="str">
        <ns0:f>'рабочий'!R6</ns0:f>
        <ns0:v>нет данных</ns0:v>
      </ns0:c>
      <ns0:c r="T21" s="32" t="str">
        <ns0:f>'рабочий'!S6</ns0:f>
        <ns0:v>нет данных</ns0:v>
      </ns0:c>
      <ns0:c r="U21" s="32" t="str">
        <ns0:f>'рабочий'!T6</ns0:f>
        <ns0:v>нет данных</ns0:v>
      </ns0:c>
      <ns0:c r="V21" s="32" t="str">
        <ns0:f>'рабочий'!U6</ns0:f>
        <ns0:v>нет данных</ns0:v>
      </ns0:c>
      <ns0:c r="W21" s="32" t="str">
        <ns0:f>'рабочий'!V6</ns0:f>
        <ns0:v>нет данных</ns0:v>
      </ns0:c>
      <ns0:c r="X21" s="32" t="str">
        <ns0:f>'рабочий'!W6</ns0:f>
        <ns0:v>нет данных</ns0:v>
      </ns0:c>
      <ns0:c r="Y21" s="32" t="str">
        <ns0:f>'рабочий'!X6</ns0:f>
        <ns0:v>нет данных</ns0:v>
      </ns0:c>
      <ns0:c r="Z21" s="32" t="str">
        <ns0:f>'рабочий'!Y6</ns0:f>
        <ns0:v>нет данных</ns0:v>
      </ns0:c>
      <ns0:c r="AA21" s="32" t="str">
        <ns0:f>'рабочий'!Z6</ns0:f>
        <ns0:v>нет данных</ns0:v>
      </ns0:c>
      <ns0:c r="AB21" s="32" t="str">
        <ns0:f>'рабочий'!AA6</ns0:f>
        <ns0:v>нет данных</ns0:v>
      </ns0:c>
      <ns0:c r="AC21" s="32" t="str">
        <ns0:f>'рабочий'!AB6</ns0:f>
        <ns0:v>нет данных</ns0:v>
      </ns0:c>
      <ns0:c r="AD21" s="32" t="str">
        <ns0:f>'рабочий'!AC6</ns0:f>
        <ns0:v>нет данных</ns0:v>
      </ns0:c>
      <ns0:c r="AE21" s="32" t="str">
        <ns0:f>'рабочий'!AD6</ns0:f>
        <ns0:v>нет данных</ns0:v>
      </ns0:c>
      <ns0:c r="AF21" s="32" t="str">
        <ns0:f>'рабочий'!AE6</ns0:f>
        <ns0:v>нет данных</ns0:v>
      </ns0:c>
      <ns0:c r="AG21" s="32" t="str">
        <ns0:f>'рабочий'!AF6</ns0:f>
        <ns0:v>нет данных</ns0:v>
      </ns0:c>
      <ns0:c r="AH21" s="31" t="n"/>
      <ns0:c r="AI21" s="31" t="inlineStr">
        <ns0:is>
          <ns0:t>не собрано</ns0:t>
        </ns0:is>
      </ns0:c>
      <ns0:c r="AJ21" s="31" t="inlineStr">
        <ns0:is>
          <ns0:t>не собрано</ns0:t>
        </ns0:is>
      </ns0:c>
      <ns0:c r="AK21" s="31" t="inlineStr">
        <ns0:is>
          <ns0:t>не собрано</ns0:t>
        </ns0:is>
      </ns0:c>
      <ns0:c r="AL21" s="31" t="inlineStr">
        <ns0:is>
          <ns0:t>не собрано</ns0:t>
        </ns0:is>
      </ns0:c>
      <ns0:c r="AM21" s="31" t="inlineStr">
        <ns0:is>
          <ns0:t>не собрано</ns0:t>
        </ns0:is>
      </ns0:c>
      <ns0:c r="AN21" s="31" t="inlineStr">
        <ns0:is>
          <ns0:t>не собрано</ns0:t>
        </ns0:is>
      </ns0:c>
      <ns0:c r="AO21" s="31" t="inlineStr">
        <ns0:is>
          <ns0:t>не собрано</ns0:t>
        </ns0:is>
      </ns0:c>
      <ns0:c r="AP21" s="31" t="inlineStr">
        <ns0:is>
          <ns0:t>не собрано</ns0:t>
        </ns0:is>
      </ns0:c>
      <ns0:c r="AQ21" s="31" t="inlineStr">
        <ns0:is>
          <ns0:t>не собрано</ns0:t>
        </ns0:is>
      </ns0:c>
      <ns0:c r="AR21" s="31" t="inlineStr">
        <ns0:is>
          <ns0:t>не собрано</ns0:t>
        </ns0:is>
      </ns0:c>
      <ns0:c r="AS21" s="31" t="inlineStr">
        <ns0:is>
          <ns0:t>не собрано</ns0:t>
        </ns0:is>
      </ns0:c>
      <ns0:c r="AT21" s="31" t="inlineStr">
        <ns0:is>
          <ns0:t>не собрано</ns0:t>
        </ns0:is>
      </ns0:c>
      <ns0:c r="AU21" s="31" t="inlineStr">
        <ns0:is>
          <ns0:t>не собрано</ns0:t>
        </ns0:is>
      </ns0:c>
      <ns0:c r="AV21" s="31" t="inlineStr">
        <ns0:is>
          <ns0:t>не собрано</ns0:t>
        </ns0:is>
      </ns0:c>
      <ns0:c r="AW21" s="31" t="inlineStr">
        <ns0:is>
          <ns0:t>не собрано</ns0:t>
        </ns0:is>
      </ns0:c>
      <ns0:c r="AX21" s="31" t="inlineStr">
        <ns0:is>
          <ns0:t>не собрано</ns0:t>
        </ns0:is>
      </ns0:c>
      <ns0:c r="AY21" s="31" t="inlineStr">
        <ns0:is>
          <ns0:t>не собрано</ns0:t>
        </ns0:is>
      </ns0:c>
      <ns0:c r="AZ21" s="31" t="inlineStr">
        <ns0:is>
          <ns0:t>не собрано</ns0:t>
        </ns0:is>
      </ns0:c>
      <ns0:c r="BA21" s="31" t="inlineStr">
        <ns0:is>
          <ns0:t>не собрано</ns0:t>
        </ns0:is>
      </ns0:c>
      <ns0:c r="BB21" s="31" t="inlineStr">
        <ns0:is>
          <ns0:t>не собрано</ns0:t>
        </ns0:is>
      </ns0:c>
      <ns0:c r="BC21" s="31" t="inlineStr">
        <ns0:is>
          <ns0:t>не собрано</ns0:t>
        </ns0:is>
      </ns0:c>
      <ns0:c r="BD21" s="31" t="inlineStr">
        <ns0:is>
          <ns0:t>не собрано</ns0:t>
        </ns0:is>
      </ns0:c>
      <ns0:c r="BE21" s="31" t="inlineStr">
        <ns0:is>
          <ns0:t>не собрано</ns0:t>
        </ns0:is>
      </ns0:c>
      <ns0:c r="BF21" s="31" t="inlineStr">
        <ns0:is>
          <ns0:t>не собрано</ns0:t>
        </ns0:is>
      </ns0:c>
      <ns0:c r="BG21" s="31" t="inlineStr">
        <ns0:is>
          <ns0:t>не собрано</ns0:t>
        </ns0:is>
      </ns0:c>
      <ns0:c r="BH21" s="31" t="inlineStr">
        <ns0:is>
          <ns0:t>не собрано</ns0:t>
        </ns0:is>
      </ns0:c>
      <ns0:c r="BI21" s="31" t="inlineStr">
        <ns0:is>
          <ns0:t>не собрано</ns0:t>
        </ns0:is>
      </ns0:c>
      <ns0:c r="BJ21" s="31" t="inlineStr">
        <ns0:is>
          <ns0:t>не собрано</ns0:t>
        </ns0:is>
      </ns0:c>
      <ns0:c r="BK21" s="31" t="inlineStr">
        <ns0:is>
          <ns0:t>не собрано</ns0:t>
        </ns0:is>
      </ns0:c>
      <ns0:c r="BL21" s="31" t="inlineStr">
        <ns0:is>
          <ns0:t>не собрано</ns0:t>
        </ns0:is>
      </ns0:c>
    </ns0:row>
    <ns0:row r="22">
      <ns0:c r="A22" s="31" t="n"/>
      <ns0:c r="B22" s="31" t="inlineStr">
        <ns0:is>
          <ns0:t>ПЭК</ns0:t>
        </ns0:is>
      </ns0:c>
      <ns0:c r="C22" s="31" t="b">
        <ns0:v>1</ns0:v>
      </ns0:c>
      <ns0:c r="D22" s="31" t="n"/>
      <ns0:c r="E22" s="31" t="str">
        <ns0:f>'рабочий'!D7</ns0:f>
        <ns0:v>нет данных</ns0:v>
      </ns0:c>
      <ns0:c r="F22" s="31" t="str">
        <ns0:f>'рабочий'!E7</ns0:f>
        <ns0:v>нет данных</ns0:v>
      </ns0:c>
      <ns0:c r="G22" s="31" t="str">
        <ns0:f>'рабочий'!F7</ns0:f>
        <ns0:v>нет данных</ns0:v>
      </ns0:c>
      <ns0:c r="H22" s="31" t="str">
        <ns0:f>'рабочий'!G7</ns0:f>
        <ns0:v>нет данных</ns0:v>
      </ns0:c>
      <ns0:c r="I22" s="31" t="str">
        <ns0:f>'рабочий'!H7</ns0:f>
        <ns0:v>нет данных</ns0:v>
      </ns0:c>
      <ns0:c r="J22" s="31" t="str">
        <ns0:f>'рабочий'!I7</ns0:f>
        <ns0:v>нет данных</ns0:v>
      </ns0:c>
      <ns0:c r="K22" s="31" t="str">
        <ns0:f>'рабочий'!J7</ns0:f>
        <ns0:v>нет данных</ns0:v>
      </ns0:c>
      <ns0:c r="L22" s="31" t="str">
        <ns0:f>'рабочий'!K7</ns0:f>
        <ns0:v>нет данных</ns0:v>
      </ns0:c>
      <ns0:c r="M22" s="31" t="str">
        <ns0:f>'рабочий'!L7</ns0:f>
        <ns0:v>нет данных</ns0:v>
      </ns0:c>
      <ns0:c r="N22" s="31" t="str">
        <ns0:f>'рабочий'!M7</ns0:f>
        <ns0:v>нет данных</ns0:v>
      </ns0:c>
      <ns0:c r="O22" s="32" t="str">
        <ns0:f>'рабочий'!N7</ns0:f>
        <ns0:v>нет данных</ns0:v>
      </ns0:c>
      <ns0:c r="P22" s="32" t="str">
        <ns0:f>'рабочий'!O7</ns0:f>
        <ns0:v>нет данных</ns0:v>
      </ns0:c>
      <ns0:c r="Q22" s="32" t="str">
        <ns0:f>'рабочий'!P7</ns0:f>
        <ns0:v>нет данных</ns0:v>
      </ns0:c>
      <ns0:c r="R22" s="32" t="str">
        <ns0:f>'рабочий'!Q7</ns0:f>
        <ns0:v>нет данных</ns0:v>
      </ns0:c>
      <ns0:c r="S22" s="32" t="str">
        <ns0:f>'рабочий'!R7</ns0:f>
        <ns0:v>нет данных</ns0:v>
      </ns0:c>
      <ns0:c r="T22" s="32" t="str">
        <ns0:f>'рабочий'!S7</ns0:f>
        <ns0:v>нет данных</ns0:v>
      </ns0:c>
      <ns0:c r="U22" s="32" t="str">
        <ns0:f>'рабочий'!T7</ns0:f>
        <ns0:v>нет данных</ns0:v>
      </ns0:c>
      <ns0:c r="V22" s="32" t="str">
        <ns0:f>'рабочий'!U7</ns0:f>
        <ns0:v>нет данных</ns0:v>
      </ns0:c>
      <ns0:c r="W22" s="32" t="str">
        <ns0:f>'рабочий'!V7</ns0:f>
        <ns0:v>нет данных</ns0:v>
      </ns0:c>
      <ns0:c r="X22" s="32" t="str">
        <ns0:f>'рабочий'!W7</ns0:f>
        <ns0:v>нет данных</ns0:v>
      </ns0:c>
      <ns0:c r="Y22" s="32" t="str">
        <ns0:f>'рабочий'!X7</ns0:f>
        <ns0:v>нет данных</ns0:v>
      </ns0:c>
      <ns0:c r="Z22" s="32" t="str">
        <ns0:f>'рабочий'!Y7</ns0:f>
        <ns0:v>нет данных</ns0:v>
      </ns0:c>
      <ns0:c r="AA22" s="32" t="str">
        <ns0:f>'рабочий'!Z7</ns0:f>
        <ns0:v>нет данных</ns0:v>
      </ns0:c>
      <ns0:c r="AB22" s="32" t="str">
        <ns0:f>'рабочий'!AA7</ns0:f>
        <ns0:v>нет данных</ns0:v>
      </ns0:c>
      <ns0:c r="AC22" s="32" t="str">
        <ns0:f>'рабочий'!AB7</ns0:f>
        <ns0:v>нет данных</ns0:v>
      </ns0:c>
      <ns0:c r="AD22" s="32" t="str">
        <ns0:f>'рабочий'!AC7</ns0:f>
        <ns0:v>нет данных</ns0:v>
      </ns0:c>
      <ns0:c r="AE22" s="32" t="str">
        <ns0:f>'рабочий'!AD7</ns0:f>
        <ns0:v>нет данных</ns0:v>
      </ns0:c>
      <ns0:c r="AF22" s="32" t="str">
        <ns0:f>'рабочий'!AE7</ns0:f>
        <ns0:v>нет данных</ns0:v>
      </ns0:c>
      <ns0:c r="AG22" s="32" t="str">
        <ns0:f>'рабочий'!AF7</ns0:f>
        <ns0:v>нет данных</ns0:v>
      </ns0:c>
      <ns0:c r="AH22" s="31" t="n"/>
      <ns0:c r="AI22" s="31" t="inlineStr">
        <ns0:is>
          <ns0:t>не собрано</ns0:t>
        </ns0:is>
      </ns0:c>
      <ns0:c r="AJ22" s="31" t="inlineStr">
        <ns0:is>
          <ns0:t>не собрано</ns0:t>
        </ns0:is>
      </ns0:c>
      <ns0:c r="AK22" s="31" t="inlineStr">
        <ns0:is>
          <ns0:t>не собрано</ns0:t>
        </ns0:is>
      </ns0:c>
      <ns0:c r="AL22" s="31" t="inlineStr">
        <ns0:is>
          <ns0:t>не собрано</ns0:t>
        </ns0:is>
      </ns0:c>
      <ns0:c r="AM22" s="31" t="inlineStr">
        <ns0:is>
          <ns0:t>не собрано</ns0:t>
        </ns0:is>
      </ns0:c>
      <ns0:c r="AN22" s="31" t="inlineStr">
        <ns0:is>
          <ns0:t>не собрано</ns0:t>
        </ns0:is>
      </ns0:c>
      <ns0:c r="AO22" s="31" t="inlineStr">
        <ns0:is>
          <ns0:t>не собрано</ns0:t>
        </ns0:is>
      </ns0:c>
      <ns0:c r="AP22" s="31" t="inlineStr">
        <ns0:is>
          <ns0:t>не собрано</ns0:t>
        </ns0:is>
      </ns0:c>
      <ns0:c r="AQ22" s="31" t="inlineStr">
        <ns0:is>
          <ns0:t>не собрано</ns0:t>
        </ns0:is>
      </ns0:c>
      <ns0:c r="AR22" s="31" t="inlineStr">
        <ns0:is>
          <ns0:t>не собрано</ns0:t>
        </ns0:is>
      </ns0:c>
      <ns0:c r="AS22" s="31" t="inlineStr">
        <ns0:is>
          <ns0:t>не собрано</ns0:t>
        </ns0:is>
      </ns0:c>
      <ns0:c r="AT22" s="31" t="inlineStr">
        <ns0:is>
          <ns0:t>не собрано</ns0:t>
        </ns0:is>
      </ns0:c>
      <ns0:c r="AU22" s="31" t="inlineStr">
        <ns0:is>
          <ns0:t>не собрано</ns0:t>
        </ns0:is>
      </ns0:c>
      <ns0:c r="AV22" s="31" t="inlineStr">
        <ns0:is>
          <ns0:t>не собрано</ns0:t>
        </ns0:is>
      </ns0:c>
      <ns0:c r="AW22" s="31" t="inlineStr">
        <ns0:is>
          <ns0:t>не собрано</ns0:t>
        </ns0:is>
      </ns0:c>
      <ns0:c r="AX22" s="31" t="inlineStr">
        <ns0:is>
          <ns0:t>не собрано</ns0:t>
        </ns0:is>
      </ns0:c>
      <ns0:c r="AY22" s="31" t="inlineStr">
        <ns0:is>
          <ns0:t>не собрано</ns0:t>
        </ns0:is>
      </ns0:c>
      <ns0:c r="AZ22" s="31" t="inlineStr">
        <ns0:is>
          <ns0:t>не собрано</ns0:t>
        </ns0:is>
      </ns0:c>
      <ns0:c r="BA22" s="31" t="inlineStr">
        <ns0:is>
          <ns0:t>не собрано</ns0:t>
        </ns0:is>
      </ns0:c>
      <ns0:c r="BB22" s="31" t="inlineStr">
        <ns0:is>
          <ns0:t>не собрано</ns0:t>
        </ns0:is>
      </ns0:c>
      <ns0:c r="BC22" s="31" t="inlineStr">
        <ns0:is>
          <ns0:t>не собрано</ns0:t>
        </ns0:is>
      </ns0:c>
      <ns0:c r="BD22" s="31" t="inlineStr">
        <ns0:is>
          <ns0:t>не собрано</ns0:t>
        </ns0:is>
      </ns0:c>
      <ns0:c r="BE22" s="31" t="inlineStr">
        <ns0:is>
          <ns0:t>не собрано</ns0:t>
        </ns0:is>
      </ns0:c>
      <ns0:c r="BF22" s="31" t="inlineStr">
        <ns0:is>
          <ns0:t>не собрано</ns0:t>
        </ns0:is>
      </ns0:c>
      <ns0:c r="BG22" s="31" t="inlineStr">
        <ns0:is>
          <ns0:t>не собрано</ns0:t>
        </ns0:is>
      </ns0:c>
      <ns0:c r="BH22" s="31" t="inlineStr">
        <ns0:is>
          <ns0:t>не собрано</ns0:t>
        </ns0:is>
      </ns0:c>
      <ns0:c r="BI22" s="31" t="inlineStr">
        <ns0:is>
          <ns0:t>не собрано</ns0:t>
        </ns0:is>
      </ns0:c>
      <ns0:c r="BJ22" s="31" t="inlineStr">
        <ns0:is>
          <ns0:t>не собрано</ns0:t>
        </ns0:is>
      </ns0:c>
      <ns0:c r="BK22" s="31" t="inlineStr">
        <ns0:is>
          <ns0:t>не собрано</ns0:t>
        </ns0:is>
      </ns0:c>
      <ns0:c r="BL22" s="31" t="inlineStr">
        <ns0:is>
          <ns0:t>не собрано</ns0:t>
        </ns0:is>
      </ns0:c>
    </ns0:row>
    <ns0:row r="23">
      <ns0:c r="A23" s="31" t="n"/>
      <ns0:c r="B23" s="31" t="inlineStr">
        <ns0:is>
          <ns0:t>КИТ</ns0:t>
        </ns0:is>
      </ns0:c>
      <ns0:c r="C23" s="31" t="b">
        <ns0:v>1</ns0:v>
      </ns0:c>
      <ns0:c r="D23" s="31" t="n"/>
      <ns0:c r="E23" s="31">
        <ns0:f>'рабочий'!D8</ns0:f>
        <ns0:v>680.0</ns0:v>
      </ns0:c>
      <ns0:c r="F23" s="31">
        <ns0:f>'рабочий'!E8</ns0:f>
        <ns0:v>800.0</ns0:v>
      </ns0:c>
      <ns0:c r="G23" s="31">
        <ns0:f>'рабочий'!F8</ns0:f>
        <ns0:v>800.0</ns0:v>
      </ns0:c>
      <ns0:c r="H23" s="31">
        <ns0:f>'рабочий'!G8</ns0:f>
        <ns0:v>920.0</ns0:v>
      </ns0:c>
      <ns0:c r="I23" s="31">
        <ns0:f>'рабочий'!H8</ns0:f>
        <ns0:v>920.0</ns0:v>
      </ns0:c>
      <ns0:c r="J23" s="31">
        <ns0:f>'рабочий'!I8</ns0:f>
        <ns0:v>1000.0</ns0:v>
      </ns0:c>
      <ns0:c r="K23" s="31">
        <ns0:f>'рабочий'!J8</ns0:f>
        <ns0:v>1000.0</ns0:v>
      </ns0:c>
      <ns0:c r="L23" s="31">
        <ns0:f>'рабочий'!K8</ns0:f>
        <ns0:v>732.0</ns0:v>
      </ns0:c>
      <ns0:c r="M23" s="31">
        <ns0:f>'рабочий'!L8</ns0:f>
        <ns0:v>915.0</ns0:v>
      </ns0:c>
      <ns0:c r="N23" s="31">
        <ns0:f>'рабочий'!M8</ns0:f>
        <ns0:v>680.0</ns0:v>
      </ns0:c>
      <ns0:c r="O23" s="32">
        <ns0:f>'рабочий'!N8</ns0:f>
        <ns0:v>18.2</ns0:v>
      </ns0:c>
      <ns0:c r="P23" s="32">
        <ns0:f>'рабочий'!O8</ns0:f>
        <ns0:v>18.0</ns0:v>
      </ns0:c>
      <ns0:c r="Q23" s="32">
        <ns0:f>'рабочий'!P8</ns0:f>
        <ns0:v>17.7</ns0:v>
      </ns0:c>
      <ns0:c r="R23" s="32">
        <ns0:f>'рабочий'!Q8</ns0:f>
        <ns0:v>17.7</ns0:v>
      </ns0:c>
      <ns0:c r="S23" s="32">
        <ns0:f>'рабочий'!R8</ns0:f>
        <ns0:v>17.7</ns0:v>
      </ns0:c>
      <ns0:c r="T23" s="32">
        <ns0:f>'рабочий'!S8</ns0:f>
        <ns0:v>17.5</ns0:v>
      </ns0:c>
      <ns0:c r="U23" s="32">
        <ns0:f>'рабочий'!T8</ns0:f>
        <ns0:v>17.5</ns0:v>
      </ns0:c>
      <ns0:c r="V23" s="32">
        <ns0:f>'рабочий'!U8</ns0:f>
        <ns0:v>17.5</ns0:v>
      </ns0:c>
      <ns0:c r="W23" s="32">
        <ns0:f>'рабочий'!V8</ns0:f>
        <ns0:v>17.5</ns0:v>
      </ns0:c>
      <ns0:c r="X23" s="32">
        <ns0:f>'рабочий'!W8</ns0:f>
        <ns0:v>17.5</ns0:v>
      </ns0:c>
      <ns0:c r="Y23" s="32">
        <ns0:f>'рабочий'!X8</ns0:f>
        <ns0:v>17.1</ns0:v>
      </ns0:c>
      <ns0:c r="Z23" s="32">
        <ns0:f>'рабочий'!Y8</ns0:f>
        <ns0:v>17.1</ns0:v>
      </ns0:c>
      <ns0:c r="AA23" s="32">
        <ns0:f>'рабочий'!Z8</ns0:f>
        <ns0:v>16.8</ns0:v>
      </ns0:c>
      <ns0:c r="AB23" s="32">
        <ns0:f>'рабочий'!AA8</ns0:f>
        <ns0:v>16.7</ns0:v>
      </ns0:c>
      <ns0:c r="AC23" s="32">
        <ns0:f>'рабочий'!AB8</ns0:f>
        <ns0:v>16.7</ns0:v>
      </ns0:c>
      <ns0:c r="AD23" s="32">
        <ns0:f>'рабочий'!AC8</ns0:f>
        <ns0:v>16.7</ns0:v>
      </ns0:c>
      <ns0:c r="AE23" s="32">
        <ns0:f>'рабочий'!AD8</ns0:f>
        <ns0:v>16.7</ns0:v>
      </ns0:c>
      <ns0:c r="AF23" s="32">
        <ns0:f>'рабочий'!AE8</ns0:f>
        <ns0:v>16.7</ns0:v>
      </ns0:c>
      <ns0:c r="AG23" s="32">
        <ns0:f>'рабочий'!AF8</ns0:f>
        <ns0:v>16.7</ns0:v>
      </ns0:c>
      <ns0:c r="AH23" s="31" t="n"/>
      <ns0:c r="AI23" s="31" t="inlineStr">
        <ns0:is>
          <ns0:t>не собрано</ns0:t>
        </ns0:is>
      </ns0:c>
      <ns0:c r="AJ23" s="31" t="inlineStr">
        <ns0:is>
          <ns0:t>не собрано</ns0:t>
        </ns0:is>
      </ns0:c>
      <ns0:c r="AK23" s="31" t="inlineStr">
        <ns0:is>
          <ns0:t>не собрано</ns0:t>
        </ns0:is>
      </ns0:c>
      <ns0:c r="AL23" s="31" t="inlineStr">
        <ns0:is>
          <ns0:t>не собрано</ns0:t>
        </ns0:is>
      </ns0:c>
      <ns0:c r="AM23" s="31" t="inlineStr">
        <ns0:is>
          <ns0:t>не собрано</ns0:t>
        </ns0:is>
      </ns0:c>
      <ns0:c r="AN23" s="31" t="inlineStr">
        <ns0:is>
          <ns0:t>не собрано</ns0:t>
        </ns0:is>
      </ns0:c>
      <ns0:c r="AO23" s="31" t="inlineStr">
        <ns0:is>
          <ns0:t>не собрано</ns0:t>
        </ns0:is>
      </ns0:c>
      <ns0:c r="AP23" s="31" t="inlineStr">
        <ns0:is>
          <ns0:t>не собрано</ns0:t>
        </ns0:is>
      </ns0:c>
      <ns0:c r="AQ23" s="31" t="inlineStr">
        <ns0:is>
          <ns0:t>не собрано</ns0:t>
        </ns0:is>
      </ns0:c>
      <ns0:c r="AR23" s="31" t="inlineStr">
        <ns0:is>
          <ns0:t>не собрано</ns0:t>
        </ns0:is>
      </ns0:c>
      <ns0:c r="AS23" s="31" t="inlineStr">
        <ns0:is>
          <ns0:t>не собрано</ns0:t>
        </ns0:is>
      </ns0:c>
      <ns0:c r="AT23" s="31" t="inlineStr">
        <ns0:is>
          <ns0:t>не собрано</ns0:t>
        </ns0:is>
      </ns0:c>
      <ns0:c r="AU23" s="31" t="inlineStr">
        <ns0:is>
          <ns0:t>не собрано</ns0:t>
        </ns0:is>
      </ns0:c>
      <ns0:c r="AV23" s="31" t="inlineStr">
        <ns0:is>
          <ns0:t>не собрано</ns0:t>
        </ns0:is>
      </ns0:c>
      <ns0:c r="AW23" s="31" t="inlineStr">
        <ns0:is>
          <ns0:t>не собрано</ns0:t>
        </ns0:is>
      </ns0:c>
      <ns0:c r="AX23" s="31" t="inlineStr">
        <ns0:is>
          <ns0:t>не собрано</ns0:t>
        </ns0:is>
      </ns0:c>
      <ns0:c r="AY23" s="31" t="inlineStr">
        <ns0:is>
          <ns0:t>не собрано</ns0:t>
        </ns0:is>
      </ns0:c>
      <ns0:c r="AZ23" s="31" t="inlineStr">
        <ns0:is>
          <ns0:t>не собрано</ns0:t>
        </ns0:is>
      </ns0:c>
      <ns0:c r="BA23" s="31" t="inlineStr">
        <ns0:is>
          <ns0:t>не собрано</ns0:t>
        </ns0:is>
      </ns0:c>
      <ns0:c r="BB23" s="31" t="inlineStr">
        <ns0:is>
          <ns0:t>не собрано</ns0:t>
        </ns0:is>
      </ns0:c>
      <ns0:c r="BC23" s="31" t="inlineStr">
        <ns0:is>
          <ns0:t>не собрано</ns0:t>
        </ns0:is>
      </ns0:c>
      <ns0:c r="BD23" s="31" t="inlineStr">
        <ns0:is>
          <ns0:t>не собрано</ns0:t>
        </ns0:is>
      </ns0:c>
      <ns0:c r="BE23" s="31" t="inlineStr">
        <ns0:is>
          <ns0:t>не собрано</ns0:t>
        </ns0:is>
      </ns0:c>
      <ns0:c r="BF23" s="31" t="inlineStr">
        <ns0:is>
          <ns0:t>не собрано</ns0:t>
        </ns0:is>
      </ns0:c>
      <ns0:c r="BG23" s="31" t="inlineStr">
        <ns0:is>
          <ns0:t>не собрано</ns0:t>
        </ns0:is>
      </ns0:c>
      <ns0:c r="BH23" s="31" t="inlineStr">
        <ns0:is>
          <ns0:t>не собрано</ns0:t>
        </ns0:is>
      </ns0:c>
      <ns0:c r="BI23" s="31" t="inlineStr">
        <ns0:is>
          <ns0:t>не собрано</ns0:t>
        </ns0:is>
      </ns0:c>
      <ns0:c r="BJ23" s="31" t="inlineStr">
        <ns0:is>
          <ns0:t>не собрано</ns0:t>
        </ns0:is>
      </ns0:c>
      <ns0:c r="BK23" s="31" t="inlineStr">
        <ns0:is>
          <ns0:t>не собрано</ns0:t>
        </ns0:is>
      </ns0:c>
      <ns0:c r="BL23" s="31" t="inlineStr">
        <ns0:is>
          <ns0:t>не собрано</ns0:t>
        </ns0:is>
      </ns0:c>
    </ns0:row>
    <ns0:row r="24">
      <ns0:c r="A24" s="31" t="n"/>
      <ns0:c r="B24" s="31" t="inlineStr">
        <ns0:is>
          <ns0:t>Возовоз</ns0:t>
        </ns0:is>
      </ns0:c>
      <ns0:c r="C24" s="31" t="b">
        <ns0:v>1</ns0:v>
      </ns0:c>
      <ns0:c r="D24" s="31" t="n"/>
      <ns0:c r="E24" s="31" t="str">
        <ns0:f>'рабочий'!D9</ns0:f>
        <ns0:v>нет данных</ns0:v>
      </ns0:c>
      <ns0:c r="F24" s="31" t="str">
        <ns0:f>'рабочий'!E9</ns0:f>
        <ns0:v>нет данных</ns0:v>
      </ns0:c>
      <ns0:c r="G24" s="31" t="str">
        <ns0:f>'рабочий'!F9</ns0:f>
        <ns0:v>нет данных</ns0:v>
      </ns0:c>
      <ns0:c r="H24" s="31" t="str">
        <ns0:f>'рабочий'!G9</ns0:f>
        <ns0:v>нет данных</ns0:v>
      </ns0:c>
      <ns0:c r="I24" s="31" t="str">
        <ns0:f>'рабочий'!H9</ns0:f>
        <ns0:v>нет данных</ns0:v>
      </ns0:c>
      <ns0:c r="J24" s="31" t="str">
        <ns0:f>'рабочий'!I9</ns0:f>
        <ns0:v>нет данных</ns0:v>
      </ns0:c>
      <ns0:c r="K24" s="31" t="str">
        <ns0:f>'рабочий'!J9</ns0:f>
        <ns0:v>нет данных</ns0:v>
      </ns0:c>
      <ns0:c r="L24" s="31" t="str">
        <ns0:f>'рабочий'!K9</ns0:f>
        <ns0:v>нет данных</ns0:v>
      </ns0:c>
      <ns0:c r="M24" s="31" t="str">
        <ns0:f>'рабочий'!L9</ns0:f>
        <ns0:v>нет данных</ns0:v>
      </ns0:c>
      <ns0:c r="N24" s="31">
        <ns0:f>'рабочий'!M9</ns0:f>
        <ns0:v>1980.0</ns0:v>
      </ns0:c>
      <ns0:c r="O24" s="32" t="str">
        <ns0:f>'рабочий'!N9</ns0:f>
        <ns0:v>нет данных</ns0:v>
      </ns0:c>
      <ns0:c r="P24" s="32" t="str">
        <ns0:f>'рабочий'!O9</ns0:f>
        <ns0:v>нет данных</ns0:v>
      </ns0:c>
      <ns0:c r="Q24" s="32" t="str">
        <ns0:f>'рабочий'!P9</ns0:f>
        <ns0:v>нет данных</ns0:v>
      </ns0:c>
      <ns0:c r="R24" s="32" t="str">
        <ns0:f>'рабочий'!Q9</ns0:f>
        <ns0:v>нет данных</ns0:v>
      </ns0:c>
      <ns0:c r="S24" s="32" t="str">
        <ns0:f>'рабочий'!R9</ns0:f>
        <ns0:v>нет данных</ns0:v>
      </ns0:c>
      <ns0:c r="T24" s="32" t="str">
        <ns0:f>'рабочий'!S9</ns0:f>
        <ns0:v>нет данных</ns0:v>
      </ns0:c>
      <ns0:c r="U24" s="32" t="str">
        <ns0:f>'рабочий'!T9</ns0:f>
        <ns0:v>нет данных</ns0:v>
      </ns0:c>
      <ns0:c r="V24" s="32" t="str">
        <ns0:f>'рабочий'!U9</ns0:f>
        <ns0:v>нет данных</ns0:v>
      </ns0:c>
      <ns0:c r="W24" s="32" t="str">
        <ns0:f>'рабочий'!V9</ns0:f>
        <ns0:v>нет данных</ns0:v>
      </ns0:c>
      <ns0:c r="X24" s="32" t="str">
        <ns0:f>'рабочий'!W9</ns0:f>
        <ns0:v>нет данных</ns0:v>
      </ns0:c>
      <ns0:c r="Y24" s="32" t="str">
        <ns0:f>'рабочий'!X9</ns0:f>
        <ns0:v>нет данных</ns0:v>
      </ns0:c>
      <ns0:c r="Z24" s="32" t="str">
        <ns0:f>'рабочий'!Y9</ns0:f>
        <ns0:v>нет данных</ns0:v>
      </ns0:c>
      <ns0:c r="AA24" s="32" t="str">
        <ns0:f>'рабочий'!Z9</ns0:f>
        <ns0:v>нет данных</ns0:v>
      </ns0:c>
      <ns0:c r="AB24" s="32" t="str">
        <ns0:f>'рабочий'!AA9</ns0:f>
        <ns0:v>нет данных</ns0:v>
      </ns0:c>
      <ns0:c r="AC24" s="32" t="str">
        <ns0:f>'рабочий'!AB9</ns0:f>
        <ns0:v>нет данных</ns0:v>
      </ns0:c>
      <ns0:c r="AD24" s="32" t="str">
        <ns0:f>'рабочий'!AC9</ns0:f>
        <ns0:v>нет данных</ns0:v>
      </ns0:c>
      <ns0:c r="AE24" s="32" t="str">
        <ns0:f>'рабочий'!AD9</ns0:f>
        <ns0:v>нет данных</ns0:v>
      </ns0:c>
      <ns0:c r="AF24" s="32" t="str">
        <ns0:f>'рабочий'!AE9</ns0:f>
        <ns0:v>нет данных</ns0:v>
      </ns0:c>
      <ns0:c r="AG24" s="32" t="str">
        <ns0:f>'рабочий'!AF9</ns0:f>
        <ns0:v>нет данных</ns0:v>
      </ns0:c>
      <ns0:c r="AH24" s="31" t="n"/>
      <ns0:c r="AI24" s="31" t="inlineStr">
        <ns0:is>
          <ns0:t>не собрано</ns0:t>
        </ns0:is>
      </ns0:c>
      <ns0:c r="AJ24" s="31" t="inlineStr">
        <ns0:is>
          <ns0:t>не собрано</ns0:t>
        </ns0:is>
      </ns0:c>
      <ns0:c r="AK24" s="31" t="inlineStr">
        <ns0:is>
          <ns0:t>не собрано</ns0:t>
        </ns0:is>
      </ns0:c>
      <ns0:c r="AL24" s="31" t="inlineStr">
        <ns0:is>
          <ns0:t>не собрано</ns0:t>
        </ns0:is>
      </ns0:c>
      <ns0:c r="AM24" s="31" t="inlineStr">
        <ns0:is>
          <ns0:t>не собрано</ns0:t>
        </ns0:is>
      </ns0:c>
      <ns0:c r="AN24" s="31" t="inlineStr">
        <ns0:is>
          <ns0:t>не собрано</ns0:t>
        </ns0:is>
      </ns0:c>
      <ns0:c r="AO24" s="31" t="inlineStr">
        <ns0:is>
          <ns0:t>не собрано</ns0:t>
        </ns0:is>
      </ns0:c>
      <ns0:c r="AP24" s="31" t="inlineStr">
        <ns0:is>
          <ns0:t>не собрано</ns0:t>
        </ns0:is>
      </ns0:c>
      <ns0:c r="AQ24" s="31" t="inlineStr">
        <ns0:is>
          <ns0:t>не собрано</ns0:t>
        </ns0:is>
      </ns0:c>
      <ns0:c r="AR24" s="31" t="inlineStr">
        <ns0:is>
          <ns0:t>не собрано</ns0:t>
        </ns0:is>
      </ns0:c>
      <ns0:c r="AS24" s="31" t="inlineStr">
        <ns0:is>
          <ns0:t>не собрано</ns0:t>
        </ns0:is>
      </ns0:c>
      <ns0:c r="AT24" s="31" t="inlineStr">
        <ns0:is>
          <ns0:t>не собрано</ns0:t>
        </ns0:is>
      </ns0:c>
      <ns0:c r="AU24" s="31" t="inlineStr">
        <ns0:is>
          <ns0:t>не собрано</ns0:t>
        </ns0:is>
      </ns0:c>
      <ns0:c r="AV24" s="31" t="inlineStr">
        <ns0:is>
          <ns0:t>не собрано</ns0:t>
        </ns0:is>
      </ns0:c>
      <ns0:c r="AW24" s="31" t="inlineStr">
        <ns0:is>
          <ns0:t>не собрано</ns0:t>
        </ns0:is>
      </ns0:c>
      <ns0:c r="AX24" s="31" t="inlineStr">
        <ns0:is>
          <ns0:t>не собрано</ns0:t>
        </ns0:is>
      </ns0:c>
      <ns0:c r="AY24" s="31" t="inlineStr">
        <ns0:is>
          <ns0:t>не собрано</ns0:t>
        </ns0:is>
      </ns0:c>
      <ns0:c r="AZ24" s="31" t="inlineStr">
        <ns0:is>
          <ns0:t>не собрано</ns0:t>
        </ns0:is>
      </ns0:c>
      <ns0:c r="BA24" s="31" t="inlineStr">
        <ns0:is>
          <ns0:t>не собрано</ns0:t>
        </ns0:is>
      </ns0:c>
      <ns0:c r="BB24" s="31" t="inlineStr">
        <ns0:is>
          <ns0:t>не собрано</ns0:t>
        </ns0:is>
      </ns0:c>
      <ns0:c r="BC24" s="31" t="inlineStr">
        <ns0:is>
          <ns0:t>не собрано</ns0:t>
        </ns0:is>
      </ns0:c>
      <ns0:c r="BD24" s="31" t="inlineStr">
        <ns0:is>
          <ns0:t>не собрано</ns0:t>
        </ns0:is>
      </ns0:c>
      <ns0:c r="BE24" s="31" t="inlineStr">
        <ns0:is>
          <ns0:t>не собрано</ns0:t>
        </ns0:is>
      </ns0:c>
      <ns0:c r="BF24" s="31" t="inlineStr">
        <ns0:is>
          <ns0:t>не собрано</ns0:t>
        </ns0:is>
      </ns0:c>
      <ns0:c r="BG24" s="31" t="inlineStr">
        <ns0:is>
          <ns0:t>не собрано</ns0:t>
        </ns0:is>
      </ns0:c>
      <ns0:c r="BH24" s="31" t="inlineStr">
        <ns0:is>
          <ns0:t>не собрано</ns0:t>
        </ns0:is>
      </ns0:c>
      <ns0:c r="BI24" s="31" t="inlineStr">
        <ns0:is>
          <ns0:t>не собрано</ns0:t>
        </ns0:is>
      </ns0:c>
      <ns0:c r="BJ24" s="31" t="inlineStr">
        <ns0:is>
          <ns0:t>не собрано</ns0:t>
        </ns0:is>
      </ns0:c>
      <ns0:c r="BK24" s="31" t="inlineStr">
        <ns0:is>
          <ns0:t>не собрано</ns0:t>
        </ns0:is>
      </ns0:c>
      <ns0:c r="BL24" s="31" t="inlineStr">
        <ns0:is>
          <ns0:t>не собрано</ns0:t>
        </ns0:is>
      </ns0:c>
    </ns0:row>
    <ns0:row r="25">
      <ns0:c r="A25" s="31" t="n"/>
      <ns0:c r="B25" s="31" t="inlineStr">
        <ns0:is>
          <ns0:t>Мейджик</ns0:t>
        </ns0:is>
      </ns0:c>
      <ns0:c r="C25" s="31" t="b">
        <ns0:v>1</ns0:v>
      </ns0:c>
      <ns0:c r="D25" s="31" t="n"/>
      <ns0:c r="E25" s="31">
        <ns0:f>'рабочий'!D10</ns0:f>
        <ns0:v>500.0</ns0:v>
      </ns0:c>
      <ns0:c r="F25" s="31">
        <ns0:f>'рабочий'!E10</ns0:f>
        <ns0:v>600.0</ns0:v>
      </ns0:c>
      <ns0:c r="G25" s="31">
        <ns0:f>'рабочий'!F10</ns0:f>
        <ns0:v>600.0</ns0:v>
      </ns0:c>
      <ns0:c r="H25" s="31">
        <ns0:f>'рабочий'!G10</ns0:f>
        <ns0:v>700.0</ns0:v>
      </ns0:c>
      <ns0:c r="I25" s="31">
        <ns0:f>'рабочий'!H10</ns0:f>
        <ns0:v>700.0</ns0:v>
      </ns0:c>
      <ns0:c r="J25" s="31">
        <ns0:f>'рабочий'!I10</ns0:f>
        <ns0:v>700.0</ns0:v>
      </ns0:c>
      <ns0:c r="K25" s="31">
        <ns0:f>'рабочий'!J10</ns0:f>
        <ns0:v>700.0</ns0:v>
      </ns0:c>
      <ns0:c r="L25" s="31">
        <ns0:f>'рабочий'!K10</ns0:f>
        <ns0:v>700.0</ns0:v>
      </ns0:c>
      <ns0:c r="M25" s="31">
        <ns0:f>'рабочий'!L10</ns0:f>
        <ns0:v>745.0</ns0:v>
      </ns0:c>
      <ns0:c r="N25" s="31">
        <ns0:f>'рабочий'!M10</ns0:f>
        <ns0:v>500.0</ns0:v>
      </ns0:c>
      <ns0:c r="O25" s="32">
        <ns0:f>'рабочий'!N10</ns0:f>
        <ns0:v>14.9</ns0:v>
      </ns0:c>
      <ns0:c r="P25" s="32">
        <ns0:f>'рабочий'!O10</ns0:f>
        <ns0:v>14.9</ns0:v>
      </ns0:c>
      <ns0:c r="Q25" s="32">
        <ns0:f>'рабочий'!P10</ns0:f>
        <ns0:v>14.9</ns0:v>
      </ns0:c>
      <ns0:c r="R25" s="32">
        <ns0:f>'рабочий'!Q10</ns0:f>
        <ns0:v>14.2</ns0:v>
      </ns0:c>
      <ns0:c r="S25" s="32">
        <ns0:f>'рабочий'!R10</ns0:f>
        <ns0:v>14.2</ns0:v>
      </ns0:c>
      <ns0:c r="T25" s="32">
        <ns0:f>'рабочий'!S10</ns0:f>
        <ns0:v>14.2</ns0:v>
      </ns0:c>
      <ns0:c r="U25" s="32">
        <ns0:f>'рабочий'!T10</ns0:f>
        <ns0:v>14.2</ns0:v>
      </ns0:c>
      <ns0:c r="V25" s="32">
        <ns0:f>'рабочий'!U10</ns0:f>
        <ns0:v>14.2</ns0:v>
      </ns0:c>
      <ns0:c r="W25" s="32">
        <ns0:f>'рабочий'!V10</ns0:f>
        <ns0:v>14.2</ns0:v>
      </ns0:c>
      <ns0:c r="X25" s="32">
        <ns0:f>'рабочий'!W10</ns0:f>
        <ns0:v>14.0</ns0:v>
      </ns0:c>
      <ns0:c r="Y25" s="32">
        <ns0:f>'рабочий'!X10</ns0:f>
        <ns0:v>14.0</ns0:v>
      </ns0:c>
      <ns0:c r="Z25" s="32">
        <ns0:f>'рабочий'!Y10</ns0:f>
        <ns0:v>14.0</ns0:v>
      </ns0:c>
      <ns0:c r="AA25" s="32">
        <ns0:f>'рабочий'!Z10</ns0:f>
        <ns0:v>13.6</ns0:v>
      </ns0:c>
      <ns0:c r="AB25" s="32">
        <ns0:f>'рабочий'!AA10</ns0:f>
        <ns0:v>13.6</ns0:v>
      </ns0:c>
      <ns0:c r="AC25" s="32">
        <ns0:f>'рабочий'!AB10</ns0:f>
        <ns0:v>13.6</ns0:v>
      </ns0:c>
      <ns0:c r="AD25" s="32">
        <ns0:f>'рабочий'!AC10</ns0:f>
        <ns0:v>13.2</ns0:v>
      </ns0:c>
      <ns0:c r="AE25" s="32">
        <ns0:f>'рабочий'!AD10</ns0:f>
        <ns0:v>13.2</ns0:v>
      </ns0:c>
      <ns0:c r="AF25" s="32">
        <ns0:f>'рабочий'!AE10</ns0:f>
        <ns0:v>13.0</ns0:v>
      </ns0:c>
      <ns0:c r="AG25" s="32">
        <ns0:f>'рабочий'!AF10</ns0:f>
        <ns0:v>12.5</ns0:v>
      </ns0:c>
      <ns0:c r="AH25" s="31" t="n"/>
      <ns0:c r="AI25" s="31" t="inlineStr">
        <ns0:is>
          <ns0:t>не собрано</ns0:t>
        </ns0:is>
      </ns0:c>
      <ns0:c r="AJ25" s="31" t="inlineStr">
        <ns0:is>
          <ns0:t>не собрано</ns0:t>
        </ns0:is>
      </ns0:c>
      <ns0:c r="AK25" s="31" t="inlineStr">
        <ns0:is>
          <ns0:t>не собрано</ns0:t>
        </ns0:is>
      </ns0:c>
      <ns0:c r="AL25" s="31" t="inlineStr">
        <ns0:is>
          <ns0:t>не собрано</ns0:t>
        </ns0:is>
      </ns0:c>
      <ns0:c r="AM25" s="31" t="inlineStr">
        <ns0:is>
          <ns0:t>не собрано</ns0:t>
        </ns0:is>
      </ns0:c>
      <ns0:c r="AN25" s="31" t="inlineStr">
        <ns0:is>
          <ns0:t>не собрано</ns0:t>
        </ns0:is>
      </ns0:c>
      <ns0:c r="AO25" s="31" t="inlineStr">
        <ns0:is>
          <ns0:t>не собрано</ns0:t>
        </ns0:is>
      </ns0:c>
      <ns0:c r="AP25" s="31" t="inlineStr">
        <ns0:is>
          <ns0:t>не собрано</ns0:t>
        </ns0:is>
      </ns0:c>
      <ns0:c r="AQ25" s="31" t="inlineStr">
        <ns0:is>
          <ns0:t>не собрано</ns0:t>
        </ns0:is>
      </ns0:c>
      <ns0:c r="AR25" s="31" t="inlineStr">
        <ns0:is>
          <ns0:t>не собрано</ns0:t>
        </ns0:is>
      </ns0:c>
      <ns0:c r="AS25" s="31" t="inlineStr">
        <ns0:is>
          <ns0:t>не собрано</ns0:t>
        </ns0:is>
      </ns0:c>
      <ns0:c r="AT25" s="31" t="inlineStr">
        <ns0:is>
          <ns0:t>не собрано</ns0:t>
        </ns0:is>
      </ns0:c>
      <ns0:c r="AU25" s="31" t="inlineStr">
        <ns0:is>
          <ns0:t>не собрано</ns0:t>
        </ns0:is>
      </ns0:c>
      <ns0:c r="AV25" s="31" t="inlineStr">
        <ns0:is>
          <ns0:t>не собрано</ns0:t>
        </ns0:is>
      </ns0:c>
      <ns0:c r="AW25" s="31" t="inlineStr">
        <ns0:is>
          <ns0:t>не собрано</ns0:t>
        </ns0:is>
      </ns0:c>
      <ns0:c r="AX25" s="31" t="inlineStr">
        <ns0:is>
          <ns0:t>не собрано</ns0:t>
        </ns0:is>
      </ns0:c>
      <ns0:c r="AY25" s="31" t="inlineStr">
        <ns0:is>
          <ns0:t>не собрано</ns0:t>
        </ns0:is>
      </ns0:c>
      <ns0:c r="AZ25" s="31" t="inlineStr">
        <ns0:is>
          <ns0:t>не собрано</ns0:t>
        </ns0:is>
      </ns0:c>
      <ns0:c r="BA25" s="31" t="inlineStr">
        <ns0:is>
          <ns0:t>не собрано</ns0:t>
        </ns0:is>
      </ns0:c>
      <ns0:c r="BB25" s="31" t="inlineStr">
        <ns0:is>
          <ns0:t>не собрано</ns0:t>
        </ns0:is>
      </ns0:c>
      <ns0:c r="BC25" s="31" t="inlineStr">
        <ns0:is>
          <ns0:t>не собрано</ns0:t>
        </ns0:is>
      </ns0:c>
      <ns0:c r="BD25" s="31" t="inlineStr">
        <ns0:is>
          <ns0:t>не собрано</ns0:t>
        </ns0:is>
      </ns0:c>
      <ns0:c r="BE25" s="31" t="inlineStr">
        <ns0:is>
          <ns0:t>не собрано</ns0:t>
        </ns0:is>
      </ns0:c>
      <ns0:c r="BF25" s="31" t="inlineStr">
        <ns0:is>
          <ns0:t>не собрано</ns0:t>
        </ns0:is>
      </ns0:c>
      <ns0:c r="BG25" s="31" t="inlineStr">
        <ns0:is>
          <ns0:t>не собрано</ns0:t>
        </ns0:is>
      </ns0:c>
      <ns0:c r="BH25" s="31" t="inlineStr">
        <ns0:is>
          <ns0:t>не собрано</ns0:t>
        </ns0:is>
      </ns0:c>
      <ns0:c r="BI25" s="31" t="inlineStr">
        <ns0:is>
          <ns0:t>не собрано</ns0:t>
        </ns0:is>
      </ns0:c>
      <ns0:c r="BJ25" s="31" t="inlineStr">
        <ns0:is>
          <ns0:t>не собрано</ns0:t>
        </ns0:is>
      </ns0:c>
      <ns0:c r="BK25" s="31" t="inlineStr">
        <ns0:is>
          <ns0:t>не собрано</ns0:t>
        </ns0:is>
      </ns0:c>
      <ns0:c r="BL25" s="31" t="inlineStr">
        <ns0:is>
          <ns0:t>не собрано</ns0:t>
        </ns0:is>
      </ns0:c>
    </ns0:row>
    <ns0:row r="26">
      <ns0:c r="A26" s="31" t="n"/>
      <ns0:c r="B26" s="31" t="inlineStr">
        <ns0:is>
          <ns0:t>Главтрасса</ns0:t>
        </ns0:is>
      </ns0:c>
      <ns0:c r="C26" s="31" t="b">
        <ns0:v>1</ns0:v>
      </ns0:c>
      <ns0:c r="D26" s="31" t="n"/>
      <ns0:c r="E26" s="31">
        <ns0:f>'рабочий'!D11</ns0:f>
        <ns0:v>390.0</ns0:v>
      </ns0:c>
      <ns0:c r="F26" s="31">
        <ns0:f>'рабочий'!E11</ns0:f>
        <ns0:v>390.0</ns0:v>
      </ns0:c>
      <ns0:c r="G26" s="31">
        <ns0:f>'рабочий'!F11</ns0:f>
        <ns0:v>390.0</ns0:v>
      </ns0:c>
      <ns0:c r="H26" s="31">
        <ns0:f>'рабочий'!G11</ns0:f>
        <ns0:v>400.0</ns0:v>
      </ns0:c>
      <ns0:c r="I26" s="31">
        <ns0:f>'рабочий'!H11</ns0:f>
        <ns0:v>400.0</ns0:v>
      </ns0:c>
      <ns0:c r="J26" s="31">
        <ns0:f>'рабочий'!I11</ns0:f>
        <ns0:v>400.0</ns0:v>
      </ns0:c>
      <ns0:c r="K26" s="31">
        <ns0:f>'рабочий'!J11</ns0:f>
        <ns0:v>456.0</ns0:v>
      </ns0:c>
      <ns0:c r="L26" s="31">
        <ns0:f>'рабочий'!K11</ns0:f>
        <ns0:v>550.0</ns0:v>
      </ns0:c>
      <ns0:c r="M26" s="31">
        <ns0:f>'рабочий'!L11</ns0:f>
        <ns0:v>688.0</ns0:v>
      </ns0:c>
      <ns0:c r="N26" s="31">
        <ns0:f>'рабочий'!M11</ns0:f>
        <ns0:v>390.0</ns0:v>
      </ns0:c>
      <ns0:c r="O26" s="32">
        <ns0:f>'рабочий'!N11</ns0:f>
        <ns0:v>13.75</ns0:v>
      </ns0:c>
      <ns0:c r="P26" s="32">
        <ns0:f>'рабочий'!O11</ns0:f>
        <ns0:v>13.25</ns0:v>
      </ns0:c>
      <ns0:c r="Q26" s="32">
        <ns0:f>'рабочий'!P11</ns0:f>
        <ns0:v>13.248</ns0:v>
      </ns0:c>
      <ns0:c r="R26" s="32">
        <ns0:f>'рабочий'!Q11</ns0:f>
        <ns0:v>13.25</ns0:v>
      </ns0:c>
      <ns0:c r="S26" s="32">
        <ns0:f>'рабочий'!R11</ns0:f>
        <ns0:v>13.25</ns0:v>
      </ns0:c>
      <ns0:c r="T26" s="32">
        <ns0:f>'рабочий'!S11</ns0:f>
        <ns0:v>13.25</ns0:v>
      </ns0:c>
      <ns0:c r="U26" s="32">
        <ns0:f>'рабочий'!T11</ns0:f>
        <ns0:v>12.9983</ns0:v>
      </ns0:c>
      <ns0:c r="V26" s="32">
        <ns0:f>'рабочий'!U11</ns0:f>
        <ns0:v>13.0</ns0:v>
      </ns0:c>
      <ns0:c r="W26" s="32">
        <ns0:f>'рабочий'!V11</ns0:f>
        <ns0:v>13.0</ns0:v>
      </ns0:c>
      <ns0:c r="X26" s="32">
        <ns0:f>'рабочий'!W11</ns0:f>
        <ns0:v>13.0</ns0:v>
      </ns0:c>
      <ns0:c r="Y26" s="32">
        <ns0:f>'рабочий'!X11</ns0:f>
        <ns0:v>15.626</ns0:v>
      </ns0:c>
      <ns0:c r="Z26" s="32">
        <ns0:f>'рабочий'!Y11</ns0:f>
        <ns0:v>15.6242</ns0:v>
      </ns0:c>
      <ns0:c r="AA26" s="32">
        <ns0:f>'рабочий'!Z11</ns0:f>
        <ns0:v>15.624</ns0:v>
      </ns0:c>
      <ns0:c r="AB26" s="32">
        <ns0:f>'рабочий'!AA11</ns0:f>
        <ns0:v>14.9995</ns0:v>
      </ns0:c>
      <ns0:c r="AC26" s="32">
        <ns0:f>'рабочий'!AB11</ns0:f>
        <ns0:v>15.0</ns0:v>
      </ns0:c>
      <ns0:c r="AD26" s="32">
        <ns0:f>'рабочий'!AC11</ns0:f>
        <ns0:v>14.3747</ns0:v>
      </ns0:c>
      <ns0:c r="AE26" s="32">
        <ns0:f>'рабочий'!AD11</ns0:f>
        <ns0:v>14.3748</ns0:v>
      </ns0:c>
      <ns0:c r="AF26" s="32">
        <ns0:f>'рабочий'!AE11</ns0:f>
        <ns0:v>14.3746</ns0:v>
      </ns0:c>
      <ns0:c r="AG26" s="32">
        <ns0:f>'рабочий'!AF11</ns0:f>
        <ns0:v>14.3751</ns0:v>
      </ns0:c>
      <ns0:c r="AH26" s="31" t="n"/>
      <ns0:c r="AI26" s="31" t="inlineStr">
        <ns0:is>
          <ns0:t>не собрано</ns0:t>
        </ns0:is>
      </ns0:c>
      <ns0:c r="AJ26" s="31" t="inlineStr">
        <ns0:is>
          <ns0:t>не собрано</ns0:t>
        </ns0:is>
      </ns0:c>
      <ns0:c r="AK26" s="31" t="inlineStr">
        <ns0:is>
          <ns0:t>не собрано</ns0:t>
        </ns0:is>
      </ns0:c>
      <ns0:c r="AL26" s="31" t="inlineStr">
        <ns0:is>
          <ns0:t>не собрано</ns0:t>
        </ns0:is>
      </ns0:c>
      <ns0:c r="AM26" s="31" t="inlineStr">
        <ns0:is>
          <ns0:t>не собрано</ns0:t>
        </ns0:is>
      </ns0:c>
      <ns0:c r="AN26" s="31" t="inlineStr">
        <ns0:is>
          <ns0:t>не собрано</ns0:t>
        </ns0:is>
      </ns0:c>
      <ns0:c r="AO26" s="31" t="inlineStr">
        <ns0:is>
          <ns0:t>не собрано</ns0:t>
        </ns0:is>
      </ns0:c>
      <ns0:c r="AP26" s="31" t="inlineStr">
        <ns0:is>
          <ns0:t>не собрано</ns0:t>
        </ns0:is>
      </ns0:c>
      <ns0:c r="AQ26" s="31" t="inlineStr">
        <ns0:is>
          <ns0:t>не собрано</ns0:t>
        </ns0:is>
      </ns0:c>
      <ns0:c r="AR26" s="31" t="inlineStr">
        <ns0:is>
          <ns0:t>не собрано</ns0:t>
        </ns0:is>
      </ns0:c>
      <ns0:c r="AS26" s="31" t="inlineStr">
        <ns0:is>
          <ns0:t>не собрано</ns0:t>
        </ns0:is>
      </ns0:c>
      <ns0:c r="AT26" s="31" t="inlineStr">
        <ns0:is>
          <ns0:t>не собрано</ns0:t>
        </ns0:is>
      </ns0:c>
      <ns0:c r="AU26" s="31" t="inlineStr">
        <ns0:is>
          <ns0:t>не собрано</ns0:t>
        </ns0:is>
      </ns0:c>
      <ns0:c r="AV26" s="31" t="inlineStr">
        <ns0:is>
          <ns0:t>не собрано</ns0:t>
        </ns0:is>
      </ns0:c>
      <ns0:c r="AW26" s="31" t="inlineStr">
        <ns0:is>
          <ns0:t>не собрано</ns0:t>
        </ns0:is>
      </ns0:c>
      <ns0:c r="AX26" s="31" t="inlineStr">
        <ns0:is>
          <ns0:t>не собрано</ns0:t>
        </ns0:is>
      </ns0:c>
      <ns0:c r="AY26" s="31" t="inlineStr">
        <ns0:is>
          <ns0:t>не собрано</ns0:t>
        </ns0:is>
      </ns0:c>
      <ns0:c r="AZ26" s="31" t="inlineStr">
        <ns0:is>
          <ns0:t>не собрано</ns0:t>
        </ns0:is>
      </ns0:c>
      <ns0:c r="BA26" s="31" t="inlineStr">
        <ns0:is>
          <ns0:t>не собрано</ns0:t>
        </ns0:is>
      </ns0:c>
      <ns0:c r="BB26" s="31" t="inlineStr">
        <ns0:is>
          <ns0:t>не собрано</ns0:t>
        </ns0:is>
      </ns0:c>
      <ns0:c r="BC26" s="31" t="inlineStr">
        <ns0:is>
          <ns0:t>не собрано</ns0:t>
        </ns0:is>
      </ns0:c>
      <ns0:c r="BD26" s="31" t="inlineStr">
        <ns0:is>
          <ns0:t>не собрано</ns0:t>
        </ns0:is>
      </ns0:c>
      <ns0:c r="BE26" s="31" t="inlineStr">
        <ns0:is>
          <ns0:t>не собрано</ns0:t>
        </ns0:is>
      </ns0:c>
      <ns0:c r="BF26" s="31" t="inlineStr">
        <ns0:is>
          <ns0:t>не собрано</ns0:t>
        </ns0:is>
      </ns0:c>
      <ns0:c r="BG26" s="31" t="inlineStr">
        <ns0:is>
          <ns0:t>не собрано</ns0:t>
        </ns0:is>
      </ns0:c>
      <ns0:c r="BH26" s="31" t="inlineStr">
        <ns0:is>
          <ns0:t>не собрано</ns0:t>
        </ns0:is>
      </ns0:c>
      <ns0:c r="BI26" s="31" t="inlineStr">
        <ns0:is>
          <ns0:t>не собрано</ns0:t>
        </ns0:is>
      </ns0:c>
      <ns0:c r="BJ26" s="31" t="inlineStr">
        <ns0:is>
          <ns0:t>не собрано</ns0:t>
        </ns0:is>
      </ns0:c>
      <ns0:c r="BK26" s="31" t="inlineStr">
        <ns0:is>
          <ns0:t>не собрано</ns0:t>
        </ns0:is>
      </ns0:c>
      <ns0:c r="BL26" s="31" t="inlineStr">
        <ns0:is>
          <ns0:t>не собрано</ns0:t>
        </ns0:is>
      </ns0:c>
    </ns0:row>
    <ns0:row r="27">
      <ns0:c r="A27" s="31" t="n"/>
      <ns0:c r="B27" s="31" t="inlineStr">
        <ns0:is>
          <ns0:t>Пролайн</ns0:t>
        </ns0:is>
      </ns0:c>
      <ns0:c r="C27" s="31" t="b">
        <ns0:v>1</ns0:v>
      </ns0:c>
      <ns0:c r="D27" s="31" t="n"/>
      <ns0:c r="E27" s="31">
        <ns0:f>'рабочий'!D12</ns0:f>
        <ns0:v>550.0</ns0:v>
      </ns0:c>
      <ns0:c r="F27" s="31">
        <ns0:f>'рабочий'!E12</ns0:f>
        <ns0:v>550.0</ns0:v>
      </ns0:c>
      <ns0:c r="G27" s="31">
        <ns0:f>'рабочий'!F12</ns0:f>
        <ns0:v>550.0</ns0:v>
      </ns0:c>
      <ns0:c r="H27" s="31">
        <ns0:f>'рабочий'!G12</ns0:f>
        <ns0:v>550.0</ns0:v>
      </ns0:c>
      <ns0:c r="I27" s="31">
        <ns0:f>'рабочий'!H12</ns0:f>
        <ns0:v>550.0</ns0:v>
      </ns0:c>
      <ns0:c r="J27" s="31">
        <ns0:f>'рабочий'!I12</ns0:f>
        <ns0:v>550.0</ns0:v>
      </ns0:c>
      <ns0:c r="K27" s="31">
        <ns0:f>'рабочий'!J12</ns0:f>
        <ns0:v>550.0</ns0:v>
      </ns0:c>
      <ns0:c r="L27" s="31">
        <ns0:f>'рабочий'!K12</ns0:f>
        <ns0:v>560.0</ns0:v>
      </ns0:c>
      <ns0:c r="M27" s="31">
        <ns0:f>'рабочий'!L12</ns0:f>
        <ns0:v>700.0</ns0:v>
      </ns0:c>
      <ns0:c r="N27" s="31">
        <ns0:f>'рабочий'!M12</ns0:f>
        <ns0:v>550.0</ns0:v>
      </ns0:c>
      <ns0:c r="O27" s="32">
        <ns0:f>'рабочий'!N12</ns0:f>
        <ns0:v>14.0</ns0:v>
      </ns0:c>
      <ns0:c r="P27" s="32">
        <ns0:f>'рабочий'!O12</ns0:f>
        <ns0:v>13.9</ns0:v>
      </ns0:c>
      <ns0:c r="Q27" s="32">
        <ns0:f>'рабочий'!P12</ns0:f>
        <ns0:v>13.9</ns0:v>
      </ns0:c>
      <ns0:c r="R27" s="32">
        <ns0:f>'рабочий'!Q12</ns0:f>
        <ns0:v>13.9</ns0:v>
      </ns0:c>
      <ns0:c r="S27" s="32">
        <ns0:f>'рабочий'!R12</ns0:f>
        <ns0:v>13.7</ns0:v>
      </ns0:c>
      <ns0:c r="T27" s="32">
        <ns0:f>'рабочий'!S12</ns0:f>
        <ns0:v>13.7</ns0:v>
      </ns0:c>
      <ns0:c r="U27" s="32">
        <ns0:f>'рабочий'!T12</ns0:f>
        <ns0:v>13.6</ns0:v>
      </ns0:c>
      <ns0:c r="V27" s="32">
        <ns0:f>'рабочий'!U12</ns0:f>
        <ns0:v>13.6</ns0:v>
      </ns0:c>
      <ns0:c r="W27" s="32">
        <ns0:f>'рабочий'!V12</ns0:f>
        <ns0:v>13.4</ns0:v>
      </ns0:c>
      <ns0:c r="X27" s="32">
        <ns0:f>'рабочий'!W12</ns0:f>
        <ns0:v>13.4</ns0:v>
      </ns0:c>
      <ns0:c r="Y27" s="32">
        <ns0:f>'рабочий'!X12</ns0:f>
        <ns0:v>13.4</ns0:v>
      </ns0:c>
      <ns0:c r="Z27" s="32">
        <ns0:f>'рабочий'!Y12</ns0:f>
        <ns0:v>13.2</ns0:v>
      </ns0:c>
      <ns0:c r="AA27" s="32">
        <ns0:f>'рабочий'!Z12</ns0:f>
        <ns0:v>13.2</ns0:v>
      </ns0:c>
      <ns0:c r="AB27" s="32">
        <ns0:f>'рабочий'!AA12</ns0:f>
        <ns0:v>13.0</ns0:v>
      </ns0:c>
      <ns0:c r="AC27" s="32">
        <ns0:f>'рабочий'!AB12</ns0:f>
        <ns0:v>12.1</ns0:v>
      </ns0:c>
      <ns0:c r="AD27" s="32">
        <ns0:f>'рабочий'!AC12</ns0:f>
        <ns0:v>12.1</ns0:v>
      </ns0:c>
      <ns0:c r="AE27" s="32">
        <ns0:f>'рабочий'!AD12</ns0:f>
        <ns0:v>12.0</ns0:v>
      </ns0:c>
      <ns0:c r="AF27" s="32">
        <ns0:f>'рабочий'!AE12</ns0:f>
        <ns0:v>12.0</ns0:v>
      </ns0:c>
      <ns0:c r="AG27" s="32">
        <ns0:f>'рабочий'!AF12</ns0:f>
        <ns0:v>12.0</ns0:v>
      </ns0:c>
      <ns0:c r="AH27" s="31" t="n"/>
      <ns0:c r="AI27" s="31" t="inlineStr">
        <ns0:is>
          <ns0:t>не собрано</ns0:t>
        </ns0:is>
      </ns0:c>
      <ns0:c r="AJ27" s="31" t="inlineStr">
        <ns0:is>
          <ns0:t>не собрано</ns0:t>
        </ns0:is>
      </ns0:c>
      <ns0:c r="AK27" s="31" t="inlineStr">
        <ns0:is>
          <ns0:t>не собрано</ns0:t>
        </ns0:is>
      </ns0:c>
      <ns0:c r="AL27" s="31" t="inlineStr">
        <ns0:is>
          <ns0:t>не собрано</ns0:t>
        </ns0:is>
      </ns0:c>
      <ns0:c r="AM27" s="31" t="inlineStr">
        <ns0:is>
          <ns0:t>не собрано</ns0:t>
        </ns0:is>
      </ns0:c>
      <ns0:c r="AN27" s="31" t="inlineStr">
        <ns0:is>
          <ns0:t>не собрано</ns0:t>
        </ns0:is>
      </ns0:c>
      <ns0:c r="AO27" s="31" t="inlineStr">
        <ns0:is>
          <ns0:t>не собрано</ns0:t>
        </ns0:is>
      </ns0:c>
      <ns0:c r="AP27" s="31" t="inlineStr">
        <ns0:is>
          <ns0:t>не собрано</ns0:t>
        </ns0:is>
      </ns0:c>
      <ns0:c r="AQ27" s="31" t="inlineStr">
        <ns0:is>
          <ns0:t>не собрано</ns0:t>
        </ns0:is>
      </ns0:c>
      <ns0:c r="AR27" s="31" t="inlineStr">
        <ns0:is>
          <ns0:t>не собрано</ns0:t>
        </ns0:is>
      </ns0:c>
      <ns0:c r="AS27" s="31" t="inlineStr">
        <ns0:is>
          <ns0:t>не собрано</ns0:t>
        </ns0:is>
      </ns0:c>
      <ns0:c r="AT27" s="31" t="inlineStr">
        <ns0:is>
          <ns0:t>не собрано</ns0:t>
        </ns0:is>
      </ns0:c>
      <ns0:c r="AU27" s="31" t="inlineStr">
        <ns0:is>
          <ns0:t>не собрано</ns0:t>
        </ns0:is>
      </ns0:c>
      <ns0:c r="AV27" s="31" t="inlineStr">
        <ns0:is>
          <ns0:t>не собрано</ns0:t>
        </ns0:is>
      </ns0:c>
      <ns0:c r="AW27" s="31" t="inlineStr">
        <ns0:is>
          <ns0:t>не собрано</ns0:t>
        </ns0:is>
      </ns0:c>
      <ns0:c r="AX27" s="31" t="inlineStr">
        <ns0:is>
          <ns0:t>не собрано</ns0:t>
        </ns0:is>
      </ns0:c>
      <ns0:c r="AY27" s="31" t="inlineStr">
        <ns0:is>
          <ns0:t>не собрано</ns0:t>
        </ns0:is>
      </ns0:c>
      <ns0:c r="AZ27" s="31" t="inlineStr">
        <ns0:is>
          <ns0:t>не собрано</ns0:t>
        </ns0:is>
      </ns0:c>
      <ns0:c r="BA27" s="31" t="inlineStr">
        <ns0:is>
          <ns0:t>не собрано</ns0:t>
        </ns0:is>
      </ns0:c>
      <ns0:c r="BB27" s="31" t="inlineStr">
        <ns0:is>
          <ns0:t>не собрано</ns0:t>
        </ns0:is>
      </ns0:c>
      <ns0:c r="BC27" s="31" t="inlineStr">
        <ns0:is>
          <ns0:t>не собрано</ns0:t>
        </ns0:is>
      </ns0:c>
      <ns0:c r="BD27" s="31" t="inlineStr">
        <ns0:is>
          <ns0:t>не собрано</ns0:t>
        </ns0:is>
      </ns0:c>
      <ns0:c r="BE27" s="31" t="inlineStr">
        <ns0:is>
          <ns0:t>не собрано</ns0:t>
        </ns0:is>
      </ns0:c>
      <ns0:c r="BF27" s="31" t="inlineStr">
        <ns0:is>
          <ns0:t>не собрано</ns0:t>
        </ns0:is>
      </ns0:c>
      <ns0:c r="BG27" s="31" t="inlineStr">
        <ns0:is>
          <ns0:t>не собрано</ns0:t>
        </ns0:is>
      </ns0:c>
      <ns0:c r="BH27" s="31" t="inlineStr">
        <ns0:is>
          <ns0:t>не собрано</ns0:t>
        </ns0:is>
      </ns0:c>
      <ns0:c r="BI27" s="31" t="inlineStr">
        <ns0:is>
          <ns0:t>не собрано</ns0:t>
        </ns0:is>
      </ns0:c>
      <ns0:c r="BJ27" s="31" t="inlineStr">
        <ns0:is>
          <ns0:t>не собрано</ns0:t>
        </ns0:is>
      </ns0:c>
      <ns0:c r="BK27" s="31" t="inlineStr">
        <ns0:is>
          <ns0:t>не собрано</ns0:t>
        </ns0:is>
      </ns0:c>
      <ns0:c r="BL27" s="31" t="inlineStr">
        <ns0:is>
          <ns0:t>не собрано</ns0:t>
        </ns0:is>
      </ns0:c>
    </ns0:row>
    <ns0:row r="28">
      <ns0:c r="A28" s="31" t="n"/>
      <ns0:c r="B28" s="31" t="inlineStr">
        <ns0:is>
          <ns0:t>Фортуна</ns0:t>
        </ns0:is>
      </ns0:c>
      <ns0:c r="C28" s="31" t="b">
        <ns0:v>1</ns0:v>
      </ns0:c>
      <ns0:c r="D28" s="31" t="n"/>
      <ns0:c r="E28" s="31">
        <ns0:f>'рабочий'!D13</ns0:f>
        <ns0:v>580.0</ns0:v>
      </ns0:c>
      <ns0:c r="F28" s="31">
        <ns0:f>'рабочий'!E13</ns0:f>
        <ns0:v>580.0</ns0:v>
      </ns0:c>
      <ns0:c r="G28" s="31">
        <ns0:f>'рабочий'!F13</ns0:f>
        <ns0:v>580.0</ns0:v>
      </ns0:c>
      <ns0:c r="H28" s="31">
        <ns0:f>'рабочий'!G13</ns0:f>
        <ns0:v>580.0</ns0:v>
      </ns0:c>
      <ns0:c r="I28" s="31">
        <ns0:f>'рабочий'!H13</ns0:f>
        <ns0:v>580.0</ns0:v>
      </ns0:c>
      <ns0:c r="J28" s="31">
        <ns0:f>'рабочий'!I13</ns0:f>
        <ns0:v>710.0</ns0:v>
      </ns0:c>
      <ns0:c r="K28" s="31">
        <ns0:f>'рабочий'!J13</ns0:f>
        <ns0:v>710.0</ns0:v>
      </ns0:c>
      <ns0:c r="L28" s="31">
        <ns0:f>'рабочий'!K13</ns0:f>
        <ns0:v>710.0</ns0:v>
      </ns0:c>
      <ns0:c r="M28" s="31">
        <ns0:f>'рабочий'!L13</ns0:f>
        <ns0:v>710.0</ns0:v>
      </ns0:c>
      <ns0:c r="N28" s="31">
        <ns0:f>'рабочий'!M13</ns0:f>
        <ns0:v>580.0</ns0:v>
      </ns0:c>
      <ns0:c r="O28" s="32">
        <ns0:f>'рабочий'!N13</ns0:f>
        <ns0:v>13.9</ns0:v>
      </ns0:c>
      <ns0:c r="P28" s="32">
        <ns0:f>'рабочий'!O13</ns0:f>
        <ns0:v>13.4</ns0:v>
      </ns0:c>
      <ns0:c r="Q28" s="32">
        <ns0:f>'рабочий'!P13</ns0:f>
        <ns0:v>13.4</ns0:v>
      </ns0:c>
      <ns0:c r="R28" s="32">
        <ns0:f>'рабочий'!Q13</ns0:f>
        <ns0:v>13.4</ns0:v>
      </ns0:c>
      <ns0:c r="S28" s="32">
        <ns0:f>'рабочий'!R13</ns0:f>
        <ns0:v>13.4</ns0:v>
      </ns0:c>
      <ns0:c r="T28" s="32">
        <ns0:f>'рабочий'!S13</ns0:f>
        <ns0:v>13.2</ns0:v>
      </ns0:c>
      <ns0:c r="U28" s="32">
        <ns0:f>'рабочий'!T13</ns0:f>
        <ns0:v>13.2</ns0:v>
      </ns0:c>
      <ns0:c r="V28" s="32">
        <ns0:f>'рабочий'!U13</ns0:f>
        <ns0:v>13.2</ns0:v>
      </ns0:c>
      <ns0:c r="W28" s="32">
        <ns0:f>'рабочий'!V13</ns0:f>
        <ns0:v>13.2</ns0:v>
      </ns0:c>
      <ns0:c r="X28" s="32">
        <ns0:f>'рабочий'!W13</ns0:f>
        <ns0:v>13.2</ns0:v>
      </ns0:c>
      <ns0:c r="Y28" s="32">
        <ns0:f>'рабочий'!X13</ns0:f>
        <ns0:v>13.1</ns0:v>
      </ns0:c>
      <ns0:c r="Z28" s="32">
        <ns0:f>'рабочий'!Y13</ns0:f>
        <ns0:v>13.1</ns0:v>
      </ns0:c>
      <ns0:c r="AA28" s="32">
        <ns0:f>'рабочий'!Z13</ns0:f>
        <ns0:v>13.0</ns0:v>
      </ns0:c>
      <ns0:c r="AB28" s="32">
        <ns0:f>'рабочий'!AA13</ns0:f>
        <ns0:v>12.4</ns0:v>
      </ns0:c>
      <ns0:c r="AC28" s="32">
        <ns0:f>'рабочий'!AB13</ns0:f>
        <ns0:v>12.4</ns0:v>
      </ns0:c>
      <ns0:c r="AD28" s="32">
        <ns0:f>'рабочий'!AC13</ns0:f>
        <ns0:v>12.1</ns0:v>
      </ns0:c>
      <ns0:c r="AE28" s="32">
        <ns0:f>'рабочий'!AD13</ns0:f>
        <ns0:v>12.1</ns0:v>
      </ns0:c>
      <ns0:c r="AF28" s="32">
        <ns0:f>'рабочий'!AE13</ns0:f>
        <ns0:v>12.1</ns0:v>
      </ns0:c>
      <ns0:c r="AG28" s="32">
        <ns0:f>'рабочий'!AF13</ns0:f>
        <ns0:v>12.1</ns0:v>
      </ns0:c>
      <ns0:c r="AH28" s="31" t="n"/>
      <ns0:c r="AI28" s="31" t="inlineStr">
        <ns0:is>
          <ns0:t>не собрано</ns0:t>
        </ns0:is>
      </ns0:c>
      <ns0:c r="AJ28" s="31" t="inlineStr">
        <ns0:is>
          <ns0:t>не собрано</ns0:t>
        </ns0:is>
      </ns0:c>
      <ns0:c r="AK28" s="31" t="inlineStr">
        <ns0:is>
          <ns0:t>не собрано</ns0:t>
        </ns0:is>
      </ns0:c>
      <ns0:c r="AL28" s="31" t="inlineStr">
        <ns0:is>
          <ns0:t>не собрано</ns0:t>
        </ns0:is>
      </ns0:c>
      <ns0:c r="AM28" s="31" t="inlineStr">
        <ns0:is>
          <ns0:t>не собрано</ns0:t>
        </ns0:is>
      </ns0:c>
      <ns0:c r="AN28" s="31" t="inlineStr">
        <ns0:is>
          <ns0:t>не собрано</ns0:t>
        </ns0:is>
      </ns0:c>
      <ns0:c r="AO28" s="31" t="inlineStr">
        <ns0:is>
          <ns0:t>не собрано</ns0:t>
        </ns0:is>
      </ns0:c>
      <ns0:c r="AP28" s="31" t="inlineStr">
        <ns0:is>
          <ns0:t>не собрано</ns0:t>
        </ns0:is>
      </ns0:c>
      <ns0:c r="AQ28" s="31" t="inlineStr">
        <ns0:is>
          <ns0:t>не собрано</ns0:t>
        </ns0:is>
      </ns0:c>
      <ns0:c r="AR28" s="31" t="inlineStr">
        <ns0:is>
          <ns0:t>не собрано</ns0:t>
        </ns0:is>
      </ns0:c>
      <ns0:c r="AS28" s="31" t="inlineStr">
        <ns0:is>
          <ns0:t>не собрано</ns0:t>
        </ns0:is>
      </ns0:c>
      <ns0:c r="AT28" s="31" t="inlineStr">
        <ns0:is>
          <ns0:t>не собрано</ns0:t>
        </ns0:is>
      </ns0:c>
      <ns0:c r="AU28" s="31" t="inlineStr">
        <ns0:is>
          <ns0:t>не собрано</ns0:t>
        </ns0:is>
      </ns0:c>
      <ns0:c r="AV28" s="31" t="inlineStr">
        <ns0:is>
          <ns0:t>не собрано</ns0:t>
        </ns0:is>
      </ns0:c>
      <ns0:c r="AW28" s="31" t="inlineStr">
        <ns0:is>
          <ns0:t>не собрано</ns0:t>
        </ns0:is>
      </ns0:c>
      <ns0:c r="AX28" s="31" t="inlineStr">
        <ns0:is>
          <ns0:t>не собрано</ns0:t>
        </ns0:is>
      </ns0:c>
      <ns0:c r="AY28" s="31" t="inlineStr">
        <ns0:is>
          <ns0:t>не собрано</ns0:t>
        </ns0:is>
      </ns0:c>
      <ns0:c r="AZ28" s="31" t="inlineStr">
        <ns0:is>
          <ns0:t>не собрано</ns0:t>
        </ns0:is>
      </ns0:c>
      <ns0:c r="BA28" s="31" t="inlineStr">
        <ns0:is>
          <ns0:t>не собрано</ns0:t>
        </ns0:is>
      </ns0:c>
      <ns0:c r="BB28" s="31" t="inlineStr">
        <ns0:is>
          <ns0:t>не собрано</ns0:t>
        </ns0:is>
      </ns0:c>
      <ns0:c r="BC28" s="31" t="inlineStr">
        <ns0:is>
          <ns0:t>не собрано</ns0:t>
        </ns0:is>
      </ns0:c>
      <ns0:c r="BD28" s="31" t="inlineStr">
        <ns0:is>
          <ns0:t>не собрано</ns0:t>
        </ns0:is>
      </ns0:c>
      <ns0:c r="BE28" s="31" t="inlineStr">
        <ns0:is>
          <ns0:t>не собрано</ns0:t>
        </ns0:is>
      </ns0:c>
      <ns0:c r="BF28" s="31" t="inlineStr">
        <ns0:is>
          <ns0:t>не собрано</ns0:t>
        </ns0:is>
      </ns0:c>
      <ns0:c r="BG28" s="31" t="inlineStr">
        <ns0:is>
          <ns0:t>не собрано</ns0:t>
        </ns0:is>
      </ns0:c>
      <ns0:c r="BH28" s="31" t="inlineStr">
        <ns0:is>
          <ns0:t>не собрано</ns0:t>
        </ns0:is>
      </ns0:c>
      <ns0:c r="BI28" s="31" t="inlineStr">
        <ns0:is>
          <ns0:t>не собрано</ns0:t>
        </ns0:is>
      </ns0:c>
      <ns0:c r="BJ28" s="31" t="inlineStr">
        <ns0:is>
          <ns0:t>не собрано</ns0:t>
        </ns0:is>
      </ns0:c>
      <ns0:c r="BK28" s="31" t="inlineStr">
        <ns0:is>
          <ns0:t>не собрано</ns0:t>
        </ns0:is>
      </ns0:c>
      <ns0:c r="BL28" s="31" t="inlineStr">
        <ns0:is>
          <ns0:t>не собрано</ns0:t>
        </ns0:is>
      </ns0:c>
    </ns0:row>
    <ns0:row r="29">
      <ns0:c r="A29" s="31" t="n"/>
      <ns0:c r="B29" s="31" t="inlineStr">
        <ns0:is>
          <ns0:t>Грузопоток</ns0:t>
        </ns0:is>
      </ns0:c>
      <ns0:c r="C29" s="31" t="b">
        <ns0:v>1</ns0:v>
      </ns0:c>
      <ns0:c r="D29" s="31" t="n"/>
      <ns0:c r="E29" s="31" t="str">
        <ns0:f>'рабочий'!D14</ns0:f>
        <ns0:v>нет данных</ns0:v>
      </ns0:c>
      <ns0:c r="F29" s="31" t="str">
        <ns0:f>'рабочий'!E14</ns0:f>
        <ns0:v>нет данных</ns0:v>
      </ns0:c>
      <ns0:c r="G29" s="31" t="str">
        <ns0:f>'рабочий'!F14</ns0:f>
        <ns0:v>нет данных</ns0:v>
      </ns0:c>
      <ns0:c r="H29" s="31" t="str">
        <ns0:f>'рабочий'!G14</ns0:f>
        <ns0:v>нет данных</ns0:v>
      </ns0:c>
      <ns0:c r="I29" s="31" t="str">
        <ns0:f>'рабочий'!H14</ns0:f>
        <ns0:v>нет данных</ns0:v>
      </ns0:c>
      <ns0:c r="J29" s="31" t="str">
        <ns0:f>'рабочий'!I14</ns0:f>
        <ns0:v>нет данных</ns0:v>
      </ns0:c>
      <ns0:c r="K29" s="31" t="str">
        <ns0:f>'рабочий'!J14</ns0:f>
        <ns0:v>нет данных</ns0:v>
      </ns0:c>
      <ns0:c r="L29" s="31" t="str">
        <ns0:f>'рабочий'!K14</ns0:f>
        <ns0:v>нет данных</ns0:v>
      </ns0:c>
      <ns0:c r="M29" s="31" t="str">
        <ns0:f>'рабочий'!L14</ns0:f>
        <ns0:v>нет данных</ns0:v>
      </ns0:c>
      <ns0:c r="N29" s="31" t="str">
        <ns0:f>'рабочий'!M14</ns0:f>
        <ns0:v>нет данных</ns0:v>
      </ns0:c>
      <ns0:c r="O29" s="32" t="str">
        <ns0:f>'рабочий'!N14</ns0:f>
        <ns0:v>нет данных</ns0:v>
      </ns0:c>
      <ns0:c r="P29" s="32" t="str">
        <ns0:f>'рабочий'!O14</ns0:f>
        <ns0:v>нет данных</ns0:v>
      </ns0:c>
      <ns0:c r="Q29" s="32" t="str">
        <ns0:f>'рабочий'!P14</ns0:f>
        <ns0:v>нет данных</ns0:v>
      </ns0:c>
      <ns0:c r="R29" s="32" t="str">
        <ns0:f>'рабочий'!Q14</ns0:f>
        <ns0:v>нет данных</ns0:v>
      </ns0:c>
      <ns0:c r="S29" s="32" t="str">
        <ns0:f>'рабочий'!R14</ns0:f>
        <ns0:v>нет данных</ns0:v>
      </ns0:c>
      <ns0:c r="T29" s="32" t="str">
        <ns0:f>'рабочий'!S14</ns0:f>
        <ns0:v>нет данных</ns0:v>
      </ns0:c>
      <ns0:c r="U29" s="32" t="str">
        <ns0:f>'рабочий'!T14</ns0:f>
        <ns0:v>нет данных</ns0:v>
      </ns0:c>
      <ns0:c r="V29" s="32" t="str">
        <ns0:f>'рабочий'!U14</ns0:f>
        <ns0:v>нет данных</ns0:v>
      </ns0:c>
      <ns0:c r="W29" s="32" t="str">
        <ns0:f>'рабочий'!V14</ns0:f>
        <ns0:v>нет данных</ns0:v>
      </ns0:c>
      <ns0:c r="X29" s="32" t="str">
        <ns0:f>'рабочий'!W14</ns0:f>
        <ns0:v>нет данных</ns0:v>
      </ns0:c>
      <ns0:c r="Y29" s="32" t="str">
        <ns0:f>'рабочий'!X14</ns0:f>
        <ns0:v>нет данных</ns0:v>
      </ns0:c>
      <ns0:c r="Z29" s="32" t="str">
        <ns0:f>'рабочий'!Y14</ns0:f>
        <ns0:v>нет данных</ns0:v>
      </ns0:c>
      <ns0:c r="AA29" s="32" t="str">
        <ns0:f>'рабочий'!Z14</ns0:f>
        <ns0:v>нет данных</ns0:v>
      </ns0:c>
      <ns0:c r="AB29" s="32" t="str">
        <ns0:f>'рабочий'!AA14</ns0:f>
        <ns0:v>нет данных</ns0:v>
      </ns0:c>
      <ns0:c r="AC29" s="32" t="str">
        <ns0:f>'рабочий'!AB14</ns0:f>
        <ns0:v>нет данных</ns0:v>
      </ns0:c>
      <ns0:c r="AD29" s="32" t="str">
        <ns0:f>'рабочий'!AC14</ns0:f>
        <ns0:v>нет данных</ns0:v>
      </ns0:c>
      <ns0:c r="AE29" s="32" t="str">
        <ns0:f>'рабочий'!AD14</ns0:f>
        <ns0:v>нет данных</ns0:v>
      </ns0:c>
      <ns0:c r="AF29" s="32" t="str">
        <ns0:f>'рабочий'!AE14</ns0:f>
        <ns0:v>нет данных</ns0:v>
      </ns0:c>
      <ns0:c r="AG29" s="32" t="str">
        <ns0:f>'рабочий'!AF14</ns0:f>
        <ns0:v>нет данных</ns0:v>
      </ns0:c>
      <ns0:c r="AH29" s="31" t="n"/>
      <ns0:c r="AI29" s="31" t="inlineStr">
        <ns0:is>
          <ns0:t>не собрано</ns0:t>
        </ns0:is>
      </ns0:c>
      <ns0:c r="AJ29" s="31" t="inlineStr">
        <ns0:is>
          <ns0:t>не собрано</ns0:t>
        </ns0:is>
      </ns0:c>
      <ns0:c r="AK29" s="31" t="inlineStr">
        <ns0:is>
          <ns0:t>не собрано</ns0:t>
        </ns0:is>
      </ns0:c>
      <ns0:c r="AL29" s="31" t="inlineStr">
        <ns0:is>
          <ns0:t>не собрано</ns0:t>
        </ns0:is>
      </ns0:c>
      <ns0:c r="AM29" s="31" t="inlineStr">
        <ns0:is>
          <ns0:t>не собрано</ns0:t>
        </ns0:is>
      </ns0:c>
      <ns0:c r="AN29" s="31" t="inlineStr">
        <ns0:is>
          <ns0:t>не собрано</ns0:t>
        </ns0:is>
      </ns0:c>
      <ns0:c r="AO29" s="31" t="inlineStr">
        <ns0:is>
          <ns0:t>не собрано</ns0:t>
        </ns0:is>
      </ns0:c>
      <ns0:c r="AP29" s="31" t="inlineStr">
        <ns0:is>
          <ns0:t>не собрано</ns0:t>
        </ns0:is>
      </ns0:c>
      <ns0:c r="AQ29" s="31" t="inlineStr">
        <ns0:is>
          <ns0:t>не собрано</ns0:t>
        </ns0:is>
      </ns0:c>
      <ns0:c r="AR29" s="31" t="inlineStr">
        <ns0:is>
          <ns0:t>не собрано</ns0:t>
        </ns0:is>
      </ns0:c>
      <ns0:c r="AS29" s="31" t="inlineStr">
        <ns0:is>
          <ns0:t>не собрано</ns0:t>
        </ns0:is>
      </ns0:c>
      <ns0:c r="AT29" s="31" t="inlineStr">
        <ns0:is>
          <ns0:t>не собрано</ns0:t>
        </ns0:is>
      </ns0:c>
      <ns0:c r="AU29" s="31" t="inlineStr">
        <ns0:is>
          <ns0:t>не собрано</ns0:t>
        </ns0:is>
      </ns0:c>
      <ns0:c r="AV29" s="31" t="inlineStr">
        <ns0:is>
          <ns0:t>не собрано</ns0:t>
        </ns0:is>
      </ns0:c>
      <ns0:c r="AW29" s="31" t="inlineStr">
        <ns0:is>
          <ns0:t>не собрано</ns0:t>
        </ns0:is>
      </ns0:c>
      <ns0:c r="AX29" s="31" t="inlineStr">
        <ns0:is>
          <ns0:t>не собрано</ns0:t>
        </ns0:is>
      </ns0:c>
      <ns0:c r="AY29" s="31" t="inlineStr">
        <ns0:is>
          <ns0:t>не собрано</ns0:t>
        </ns0:is>
      </ns0:c>
      <ns0:c r="AZ29" s="31" t="inlineStr">
        <ns0:is>
          <ns0:t>не собрано</ns0:t>
        </ns0:is>
      </ns0:c>
      <ns0:c r="BA29" s="31" t="inlineStr">
        <ns0:is>
          <ns0:t>не собрано</ns0:t>
        </ns0:is>
      </ns0:c>
      <ns0:c r="BB29" s="31" t="inlineStr">
        <ns0:is>
          <ns0:t>не собрано</ns0:t>
        </ns0:is>
      </ns0:c>
      <ns0:c r="BC29" s="31" t="inlineStr">
        <ns0:is>
          <ns0:t>не собрано</ns0:t>
        </ns0:is>
      </ns0:c>
      <ns0:c r="BD29" s="31" t="inlineStr">
        <ns0:is>
          <ns0:t>не собрано</ns0:t>
        </ns0:is>
      </ns0:c>
      <ns0:c r="BE29" s="31" t="inlineStr">
        <ns0:is>
          <ns0:t>не собрано</ns0:t>
        </ns0:is>
      </ns0:c>
      <ns0:c r="BF29" s="31" t="inlineStr">
        <ns0:is>
          <ns0:t>не собрано</ns0:t>
        </ns0:is>
      </ns0:c>
      <ns0:c r="BG29" s="31" t="inlineStr">
        <ns0:is>
          <ns0:t>не собрано</ns0:t>
        </ns0:is>
      </ns0:c>
      <ns0:c r="BH29" s="31" t="inlineStr">
        <ns0:is>
          <ns0:t>не собрано</ns0:t>
        </ns0:is>
      </ns0:c>
      <ns0:c r="BI29" s="31" t="inlineStr">
        <ns0:is>
          <ns0:t>не собрано</ns0:t>
        </ns0:is>
      </ns0:c>
      <ns0:c r="BJ29" s="31" t="inlineStr">
        <ns0:is>
          <ns0:t>не собрано</ns0:t>
        </ns0:is>
      </ns0:c>
      <ns0:c r="BK29" s="31" t="inlineStr">
        <ns0:is>
          <ns0:t>не собрано</ns0:t>
        </ns0:is>
      </ns0:c>
      <ns0:c r="BL29" s="31" t="inlineStr">
        <ns0:is>
          <ns0:t>не собрано</ns0:t>
        </ns0:is>
      </ns0:c>
    </ns0:row>
    <ns0:row r="30">
      <ns0:c r="A30" s="31" t="n"/>
      <ns0:c r="B30" s="31" t="inlineStr">
        <ns0:is>
          <ns0:t>ФастТранс</ns0:t>
        </ns0:is>
      </ns0:c>
      <ns0:c r="C30" s="31" t="b">
        <ns0:v>1</ns0:v>
      </ns0:c>
      <ns0:c r="D30" s="31" t="n"/>
      <ns0:c r="E30" s="31">
        <ns0:f>'рабочий'!D15</ns0:f>
        <ns0:v>720.0</ns0:v>
      </ns0:c>
      <ns0:c r="F30" s="31">
        <ns0:f>'рабочий'!E15</ns0:f>
        <ns0:v>720.0</ns0:v>
      </ns0:c>
      <ns0:c r="G30" s="31">
        <ns0:f>'рабочий'!F15</ns0:f>
        <ns0:v>720.0</ns0:v>
      </ns0:c>
      <ns0:c r="H30" s="31">
        <ns0:f>'рабочий'!G15</ns0:f>
        <ns0:v>750.0</ns0:v>
      </ns0:c>
      <ns0:c r="I30" s="31">
        <ns0:f>'рабочий'!H15</ns0:f>
        <ns0:v>750.0</ns0:v>
      </ns0:c>
      <ns0:c r="J30" s="31">
        <ns0:f>'рабочий'!I15</ns0:f>
        <ns0:v>750.0</ns0:v>
      </ns0:c>
      <ns0:c r="K30" s="31">
        <ns0:f>'рабочий'!J15</ns0:f>
        <ns0:v>850.0</ns0:v>
      </ns0:c>
      <ns0:c r="L30" s="31">
        <ns0:f>'рабочий'!K15</ns0:f>
        <ns0:v>850.0</ns0:v>
      </ns0:c>
      <ns0:c r="M30" s="31">
        <ns0:f>'рабочий'!L15</ns0:f>
        <ns0:v>740.0</ns0:v>
      </ns0:c>
      <ns0:c r="N30" s="31">
        <ns0:f>'рабочий'!M15</ns0:f>
        <ns0:v>720.0</ns0:v>
      </ns0:c>
      <ns0:c r="O30" s="32">
        <ns0:f>'рабочий'!N15</ns0:f>
        <ns0:v>14.7</ns0:v>
      </ns0:c>
      <ns0:c r="P30" s="32">
        <ns0:f>'рабочий'!O15</ns0:f>
        <ns0:v>14.6</ns0:v>
      </ns0:c>
      <ns0:c r="Q30" s="32">
        <ns0:f>'рабочий'!P15</ns0:f>
        <ns0:v>14.5</ns0:v>
      </ns0:c>
      <ns0:c r="R30" s="32">
        <ns0:f>'рабочий'!Q15</ns0:f>
        <ns0:v>14.5</ns0:v>
      </ns0:c>
      <ns0:c r="S30" s="32">
        <ns0:f>'рабочий'!R15</ns0:f>
        <ns0:v>14.1</ns0:v>
      </ns0:c>
      <ns0:c r="T30" s="32">
        <ns0:f>'рабочий'!S15</ns0:f>
        <ns0:v>14.1</ns0:v>
      </ns0:c>
      <ns0:c r="U30" s="32">
        <ns0:f>'рабочий'!T15</ns0:f>
        <ns0:v>14.0</ns0:v>
      </ns0:c>
      <ns0:c r="V30" s="32">
        <ns0:f>'рабочий'!U15</ns0:f>
        <ns0:v>14.0</ns0:v>
      </ns0:c>
      <ns0:c r="W30" s="32">
        <ns0:f>'рабочий'!V15</ns0:f>
        <ns0:v>13.9</ns0:v>
      </ns0:c>
      <ns0:c r="X30" s="32">
        <ns0:f>'рабочий'!W15</ns0:f>
        <ns0:v>13.9</ns0:v>
      </ns0:c>
      <ns0:c r="Y30" s="32">
        <ns0:f>'рабочий'!X15</ns0:f>
        <ns0:v>13.9</ns0:v>
      </ns0:c>
      <ns0:c r="Z30" s="32">
        <ns0:f>'рабочий'!Y15</ns0:f>
        <ns0:v>13.8</ns0:v>
      </ns0:c>
      <ns0:c r="AA30" s="32">
        <ns0:f>'рабочий'!Z15</ns0:f>
        <ns0:v>13.8</ns0:v>
      </ns0:c>
      <ns0:c r="AB30" s="32">
        <ns0:f>'рабочий'!AA15</ns0:f>
        <ns0:v>13.5</ns0:v>
      </ns0:c>
      <ns0:c r="AC30" s="32">
        <ns0:f>'рабочий'!AB15</ns0:f>
        <ns0:v>13.4</ns0:v>
      </ns0:c>
      <ns0:c r="AD30" s="32">
        <ns0:f>'рабочий'!AC15</ns0:f>
        <ns0:v>13.4</ns0:v>
      </ns0:c>
      <ns0:c r="AE30" s="32">
        <ns0:f>'рабочий'!AD15</ns0:f>
        <ns0:v>13.0</ns0:v>
      </ns0:c>
      <ns0:c r="AF30" s="32">
        <ns0:f>'рабочий'!AE15</ns0:f>
        <ns0:v>12.8</ns0:v>
      </ns0:c>
      <ns0:c r="AG30" s="32">
        <ns0:f>'рабочий'!AF15</ns0:f>
        <ns0:v>12.8</ns0:v>
      </ns0:c>
      <ns0:c r="AH30" s="31" t="n"/>
      <ns0:c r="AI30" s="31" t="inlineStr">
        <ns0:is>
          <ns0:t>не собрано</ns0:t>
        </ns0:is>
      </ns0:c>
      <ns0:c r="AJ30" s="31" t="inlineStr">
        <ns0:is>
          <ns0:t>не собрано</ns0:t>
        </ns0:is>
      </ns0:c>
      <ns0:c r="AK30" s="31" t="inlineStr">
        <ns0:is>
          <ns0:t>не собрано</ns0:t>
        </ns0:is>
      </ns0:c>
      <ns0:c r="AL30" s="31" t="inlineStr">
        <ns0:is>
          <ns0:t>не собрано</ns0:t>
        </ns0:is>
      </ns0:c>
      <ns0:c r="AM30" s="31" t="inlineStr">
        <ns0:is>
          <ns0:t>не собрано</ns0:t>
        </ns0:is>
      </ns0:c>
      <ns0:c r="AN30" s="31" t="inlineStr">
        <ns0:is>
          <ns0:t>не собрано</ns0:t>
        </ns0:is>
      </ns0:c>
      <ns0:c r="AO30" s="31" t="inlineStr">
        <ns0:is>
          <ns0:t>не собрано</ns0:t>
        </ns0:is>
      </ns0:c>
      <ns0:c r="AP30" s="31" t="inlineStr">
        <ns0:is>
          <ns0:t>не собрано</ns0:t>
        </ns0:is>
      </ns0:c>
      <ns0:c r="AQ30" s="31" t="inlineStr">
        <ns0:is>
          <ns0:t>не собрано</ns0:t>
        </ns0:is>
      </ns0:c>
      <ns0:c r="AR30" s="31" t="inlineStr">
        <ns0:is>
          <ns0:t>не собрано</ns0:t>
        </ns0:is>
      </ns0:c>
      <ns0:c r="AS30" s="31" t="inlineStr">
        <ns0:is>
          <ns0:t>не собрано</ns0:t>
        </ns0:is>
      </ns0:c>
      <ns0:c r="AT30" s="31" t="inlineStr">
        <ns0:is>
          <ns0:t>не собрано</ns0:t>
        </ns0:is>
      </ns0:c>
      <ns0:c r="AU30" s="31" t="inlineStr">
        <ns0:is>
          <ns0:t>не собрано</ns0:t>
        </ns0:is>
      </ns0:c>
      <ns0:c r="AV30" s="31" t="inlineStr">
        <ns0:is>
          <ns0:t>не собрано</ns0:t>
        </ns0:is>
      </ns0:c>
      <ns0:c r="AW30" s="31" t="inlineStr">
        <ns0:is>
          <ns0:t>не собрано</ns0:t>
        </ns0:is>
      </ns0:c>
      <ns0:c r="AX30" s="31" t="inlineStr">
        <ns0:is>
          <ns0:t>не собрано</ns0:t>
        </ns0:is>
      </ns0:c>
      <ns0:c r="AY30" s="31" t="inlineStr">
        <ns0:is>
          <ns0:t>не собрано</ns0:t>
        </ns0:is>
      </ns0:c>
      <ns0:c r="AZ30" s="31" t="inlineStr">
        <ns0:is>
          <ns0:t>не собрано</ns0:t>
        </ns0:is>
      </ns0:c>
      <ns0:c r="BA30" s="31" t="inlineStr">
        <ns0:is>
          <ns0:t>не собрано</ns0:t>
        </ns0:is>
      </ns0:c>
      <ns0:c r="BB30" s="31" t="inlineStr">
        <ns0:is>
          <ns0:t>не собрано</ns0:t>
        </ns0:is>
      </ns0:c>
      <ns0:c r="BC30" s="31" t="inlineStr">
        <ns0:is>
          <ns0:t>не собрано</ns0:t>
        </ns0:is>
      </ns0:c>
      <ns0:c r="BD30" s="31" t="inlineStr">
        <ns0:is>
          <ns0:t>не собрано</ns0:t>
        </ns0:is>
      </ns0:c>
      <ns0:c r="BE30" s="31" t="inlineStr">
        <ns0:is>
          <ns0:t>не собрано</ns0:t>
        </ns0:is>
      </ns0:c>
      <ns0:c r="BF30" s="31" t="inlineStr">
        <ns0:is>
          <ns0:t>не собрано</ns0:t>
        </ns0:is>
      </ns0:c>
      <ns0:c r="BG30" s="31" t="inlineStr">
        <ns0:is>
          <ns0:t>не собрано</ns0:t>
        </ns0:is>
      </ns0:c>
      <ns0:c r="BH30" s="31" t="inlineStr">
        <ns0:is>
          <ns0:t>не собрано</ns0:t>
        </ns0:is>
      </ns0:c>
      <ns0:c r="BI30" s="31" t="inlineStr">
        <ns0:is>
          <ns0:t>не собрано</ns0:t>
        </ns0:is>
      </ns0:c>
      <ns0:c r="BJ30" s="31" t="inlineStr">
        <ns0:is>
          <ns0:t>не собрано</ns0:t>
        </ns0:is>
      </ns0:c>
      <ns0:c r="BK30" s="31" t="inlineStr">
        <ns0:is>
          <ns0:t>не собрано</ns0:t>
        </ns0:is>
      </ns0:c>
      <ns0:c r="BL30" s="31" t="inlineStr">
        <ns0:is>
          <ns0:t>не собрано</ns0:t>
        </ns0:is>
      </ns0:c>
    </ns0:row>
    <ns0:row r="31">
      <ns0:c r="A31" s="31" t="n"/>
      <ns0:c r="B31" s="31" t="inlineStr">
        <ns0:is>
          <ns0:t>РейлКонтинент</ns0:t>
        </ns0:is>
      </ns0:c>
      <ns0:c r="C31" s="31" t="b">
        <ns0:v>1</ns0:v>
      </ns0:c>
      <ns0:c r="D31" s="31" t="n"/>
      <ns0:c r="E31" s="31">
        <ns0:f>'рабочий'!D16</ns0:f>
        <ns0:v>990.0</ns0:v>
      </ns0:c>
      <ns0:c r="F31" s="31">
        <ns0:f>'рабочий'!E16</ns0:f>
        <ns0:v>990.0</ns0:v>
      </ns0:c>
      <ns0:c r="G31" s="31">
        <ns0:f>'рабочий'!F16</ns0:f>
        <ns0:v>990.0</ns0:v>
      </ns0:c>
      <ns0:c r="H31" s="31">
        <ns0:f>'рабочий'!G16</ns0:f>
        <ns0:v>990.0</ns0:v>
      </ns0:c>
      <ns0:c r="I31" s="31">
        <ns0:f>'рабочий'!H16</ns0:f>
        <ns0:v>990.0</ns0:v>
      </ns0:c>
      <ns0:c r="J31" s="31">
        <ns0:f>'рабочий'!I16</ns0:f>
        <ns0:v>990.0</ns0:v>
      </ns0:c>
      <ns0:c r="K31" s="31">
        <ns0:f>'рабочий'!J16</ns0:f>
        <ns0:v>990.0</ns0:v>
      </ns0:c>
      <ns0:c r="L31" s="31">
        <ns0:f>'рабочий'!K16</ns0:f>
        <ns0:v>990.0</ns0:v>
      </ns0:c>
      <ns0:c r="M31" s="31">
        <ns0:f>'рабочий'!L16</ns0:f>
        <ns0:v>990.0</ns0:v>
      </ns0:c>
      <ns0:c r="N31" s="31">
        <ns0:f>'рабочий'!M16</ns0:f>
        <ns0:v>990.0</ns0:v>
      </ns0:c>
      <ns0:c r="O31" s="32">
        <ns0:f>'рабочий'!N16</ns0:f>
        <ns0:v>18.3</ns0:v>
      </ns0:c>
      <ns0:c r="P31" s="32">
        <ns0:f>'рабочий'!O16</ns0:f>
        <ns0:v>18.3</ns0:v>
      </ns0:c>
      <ns0:c r="Q31" s="32">
        <ns0:f>'рабочий'!P16</ns0:f>
        <ns0:v>18.3</ns0:v>
      </ns0:c>
      <ns0:c r="R31" s="32">
        <ns0:f>'рабочий'!Q16</ns0:f>
        <ns0:v>17.9</ns0:v>
      </ns0:c>
      <ns0:c r="S31" s="32">
        <ns0:f>'рабочий'!R16</ns0:f>
        <ns0:v>17.9</ns0:v>
      </ns0:c>
      <ns0:c r="T31" s="32">
        <ns0:f>'рабочий'!S16</ns0:f>
        <ns0:v>17.5</ns0:v>
      </ns0:c>
      <ns0:c r="U31" s="32">
        <ns0:f>'рабочий'!T16</ns0:f>
        <ns0:v>17.5</ns0:v>
      </ns0:c>
      <ns0:c r="V31" s="32">
        <ns0:f>'рабочий'!U16</ns0:f>
        <ns0:v>17.5</ns0:v>
      </ns0:c>
      <ns0:c r="W31" s="32">
        <ns0:f>'рабочий'!V16</ns0:f>
        <ns0:v>17.5</ns0:v>
      </ns0:c>
      <ns0:c r="X31" s="32">
        <ns0:f>'рабочий'!W16</ns0:f>
        <ns0:v>17.5</ns0:v>
      </ns0:c>
      <ns0:c r="Y31" s="32">
        <ns0:f>'рабочий'!X16</ns0:f>
        <ns0:v>17.1</ns0:v>
      </ns0:c>
      <ns0:c r="Z31" s="32">
        <ns0:f>'рабочий'!Y16</ns0:f>
        <ns0:v>17.1</ns0:v>
      </ns0:c>
      <ns0:c r="AA31" s="32">
        <ns0:f>'рабочий'!Z16</ns0:f>
        <ns0:v>17.1</ns0:v>
      </ns0:c>
      <ns0:c r="AB31" s="32">
        <ns0:f>'рабочий'!AA16</ns0:f>
        <ns0:v>16.7</ns0:v>
      </ns0:c>
      <ns0:c r="AC31" s="32">
        <ns0:f>'рабочий'!AB16</ns0:f>
        <ns0:v>16.7</ns0:v>
      </ns0:c>
      <ns0:c r="AD31" s="32">
        <ns0:f>'рабочий'!AC16</ns0:f>
        <ns0:v>16.5</ns0:v>
      </ns0:c>
      <ns0:c r="AE31" s="32">
        <ns0:f>'рабочий'!AD16</ns0:f>
        <ns0:v>16.3</ns0:v>
      </ns0:c>
      <ns0:c r="AF31" s="32">
        <ns0:f>'рабочий'!AE16</ns0:f>
        <ns0:v>15.9</ns0:v>
      </ns0:c>
      <ns0:c r="AG31" s="32">
        <ns0:f>'рабочий'!AF16</ns0:f>
        <ns0:v>15.5</ns0:v>
      </ns0:c>
      <ns0:c r="AH31" s="31" t="n"/>
      <ns0:c r="AI31" s="31" t="inlineStr">
        <ns0:is>
          <ns0:t>не собрано</ns0:t>
        </ns0:is>
      </ns0:c>
      <ns0:c r="AJ31" s="31" t="inlineStr">
        <ns0:is>
          <ns0:t>не собрано</ns0:t>
        </ns0:is>
      </ns0:c>
      <ns0:c r="AK31" s="31" t="inlineStr">
        <ns0:is>
          <ns0:t>не собрано</ns0:t>
        </ns0:is>
      </ns0:c>
      <ns0:c r="AL31" s="31" t="inlineStr">
        <ns0:is>
          <ns0:t>не собрано</ns0:t>
        </ns0:is>
      </ns0:c>
      <ns0:c r="AM31" s="31" t="inlineStr">
        <ns0:is>
          <ns0:t>не собрано</ns0:t>
        </ns0:is>
      </ns0:c>
      <ns0:c r="AN31" s="31" t="inlineStr">
        <ns0:is>
          <ns0:t>не собрано</ns0:t>
        </ns0:is>
      </ns0:c>
      <ns0:c r="AO31" s="31" t="inlineStr">
        <ns0:is>
          <ns0:t>не собрано</ns0:t>
        </ns0:is>
      </ns0:c>
      <ns0:c r="AP31" s="31" t="inlineStr">
        <ns0:is>
          <ns0:t>не собрано</ns0:t>
        </ns0:is>
      </ns0:c>
      <ns0:c r="AQ31" s="31" t="inlineStr">
        <ns0:is>
          <ns0:t>не собрано</ns0:t>
        </ns0:is>
      </ns0:c>
      <ns0:c r="AR31" s="31" t="inlineStr">
        <ns0:is>
          <ns0:t>не собрано</ns0:t>
        </ns0:is>
      </ns0:c>
      <ns0:c r="AS31" s="31" t="inlineStr">
        <ns0:is>
          <ns0:t>не собрано</ns0:t>
        </ns0:is>
      </ns0:c>
      <ns0:c r="AT31" s="31" t="inlineStr">
        <ns0:is>
          <ns0:t>не собрано</ns0:t>
        </ns0:is>
      </ns0:c>
      <ns0:c r="AU31" s="31" t="inlineStr">
        <ns0:is>
          <ns0:t>не собрано</ns0:t>
        </ns0:is>
      </ns0:c>
      <ns0:c r="AV31" s="31" t="inlineStr">
        <ns0:is>
          <ns0:t>не собрано</ns0:t>
        </ns0:is>
      </ns0:c>
      <ns0:c r="AW31" s="31" t="inlineStr">
        <ns0:is>
          <ns0:t>не собрано</ns0:t>
        </ns0:is>
      </ns0:c>
      <ns0:c r="AX31" s="31" t="inlineStr">
        <ns0:is>
          <ns0:t>не собрано</ns0:t>
        </ns0:is>
      </ns0:c>
      <ns0:c r="AY31" s="31" t="inlineStr">
        <ns0:is>
          <ns0:t>не собрано</ns0:t>
        </ns0:is>
      </ns0:c>
      <ns0:c r="AZ31" s="31" t="inlineStr">
        <ns0:is>
          <ns0:t>не собрано</ns0:t>
        </ns0:is>
      </ns0:c>
      <ns0:c r="BA31" s="31" t="inlineStr">
        <ns0:is>
          <ns0:t>не собрано</ns0:t>
        </ns0:is>
      </ns0:c>
      <ns0:c r="BB31" s="31" t="inlineStr">
        <ns0:is>
          <ns0:t>не собрано</ns0:t>
        </ns0:is>
      </ns0:c>
      <ns0:c r="BC31" s="31" t="inlineStr">
        <ns0:is>
          <ns0:t>не собрано</ns0:t>
        </ns0:is>
      </ns0:c>
      <ns0:c r="BD31" s="31" t="inlineStr">
        <ns0:is>
          <ns0:t>не собрано</ns0:t>
        </ns0:is>
      </ns0:c>
      <ns0:c r="BE31" s="31" t="inlineStr">
        <ns0:is>
          <ns0:t>не собрано</ns0:t>
        </ns0:is>
      </ns0:c>
      <ns0:c r="BF31" s="31" t="inlineStr">
        <ns0:is>
          <ns0:t>не собрано</ns0:t>
        </ns0:is>
      </ns0:c>
      <ns0:c r="BG31" s="31" t="inlineStr">
        <ns0:is>
          <ns0:t>не собрано</ns0:t>
        </ns0:is>
      </ns0:c>
      <ns0:c r="BH31" s="31" t="inlineStr">
        <ns0:is>
          <ns0:t>не собрано</ns0:t>
        </ns0:is>
      </ns0:c>
      <ns0:c r="BI31" s="31" t="inlineStr">
        <ns0:is>
          <ns0:t>не собрано</ns0:t>
        </ns0:is>
      </ns0:c>
      <ns0:c r="BJ31" s="31" t="inlineStr">
        <ns0:is>
          <ns0:t>не собрано</ns0:t>
        </ns0:is>
      </ns0:c>
      <ns0:c r="BK31" s="31" t="inlineStr">
        <ns0:is>
          <ns0:t>не собрано</ns0:t>
        </ns0:is>
      </ns0:c>
      <ns0:c r="BL31" s="31" t="inlineStr">
        <ns0:is>
          <ns0:t>не собрано</ns0:t>
        </ns0:is>
      </ns0:c>
    </ns0:row>
    <ns0:row r="32">
      <ns0:c r="A32" s="31" t="n"/>
      <ns0:c r="B32" s="31" t="inlineStr">
        <ns0:is>
          <ns0:t>АТЭК</ns0:t>
        </ns0:is>
      </ns0:c>
      <ns0:c r="C32" s="31" t="b">
        <ns0:v>1</ns0:v>
      </ns0:c>
      <ns0:c r="D32" s="31" t="n"/>
      <ns0:c r="E32" s="31">
        <ns0:f>'рабочий'!D17</ns0:f>
        <ns0:v>490.0</ns0:v>
      </ns0:c>
      <ns0:c r="F32" s="31">
        <ns0:f>'рабочий'!E17</ns0:f>
        <ns0:v>490.0</ns0:v>
      </ns0:c>
      <ns0:c r="G32" s="31">
        <ns0:f>'рабочий'!F17</ns0:f>
        <ns0:v>490.0</ns0:v>
      </ns0:c>
      <ns0:c r="H32" s="31">
        <ns0:f>'рабочий'!G17</ns0:f>
        <ns0:v>490.0</ns0:v>
      </ns0:c>
      <ns0:c r="I32" s="31">
        <ns0:f>'рабочий'!H17</ns0:f>
        <ns0:v>490.0</ns0:v>
      </ns0:c>
      <ns0:c r="J32" s="31">
        <ns0:f>'рабочий'!I17</ns0:f>
        <ns0:v>490.0</ns0:v>
      </ns0:c>
      <ns0:c r="K32" s="31">
        <ns0:f>'рабочий'!J17</ns0:f>
        <ns0:v>675.0</ns0:v>
      </ns0:c>
      <ns0:c r="L32" s="31">
        <ns0:f>'рабочий'!K17</ns0:f>
        <ns0:v>675.0</ns0:v>
      </ns0:c>
      <ns0:c r="M32" s="31">
        <ns0:f>'рабочий'!L17</ns0:f>
        <ns0:v>675.0</ns0:v>
      </ns0:c>
      <ns0:c r="N32" s="31">
        <ns0:f>'рабочий'!M17</ns0:f>
        <ns0:v>490.0</ns0:v>
      </ns0:c>
      <ns0:c r="O32" s="32">
        <ns0:f>'рабочий'!N17</ns0:f>
        <ns0:v>13.5</ns0:v>
      </ns0:c>
      <ns0:c r="P32" s="32">
        <ns0:f>'рабочий'!O17</ns0:f>
        <ns0:v>13.5</ns0:v>
      </ns0:c>
      <ns0:c r="Q32" s="32">
        <ns0:f>'рабочий'!P17</ns0:f>
        <ns0:v>13.5</ns0:v>
      </ns0:c>
      <ns0:c r="R32" s="32">
        <ns0:f>'рабочий'!Q17</ns0:f>
        <ns0:v>13.1</ns0:v>
      </ns0:c>
      <ns0:c r="S32" s="32">
        <ns0:f>'рабочий'!R17</ns0:f>
        <ns0:v>13.1</ns0:v>
      </ns0:c>
      <ns0:c r="T32" s="32">
        <ns0:f>'рабочий'!S17</ns0:f>
        <ns0:v>13.1</ns0:v>
      </ns0:c>
      <ns0:c r="U32" s="32">
        <ns0:f>'рабочий'!T17</ns0:f>
        <ns0:v>13.1</ns0:v>
      </ns0:c>
      <ns0:c r="V32" s="32">
        <ns0:f>'рабочий'!U17</ns0:f>
        <ns0:v>13.1</ns0:v>
      </ns0:c>
      <ns0:c r="W32" s="32">
        <ns0:f>'рабочий'!V17</ns0:f>
        <ns0:v>13.1</ns0:v>
      </ns0:c>
      <ns0:c r="X32" s="32">
        <ns0:f>'рабочий'!W17</ns0:f>
        <ns0:v>13.1</ns0:v>
      </ns0:c>
      <ns0:c r="Y32" s="32">
        <ns0:f>'рабочий'!X17</ns0:f>
        <ns0:v>13.1</ns0:v>
      </ns0:c>
      <ns0:c r="Z32" s="32">
        <ns0:f>'рабочий'!Y17</ns0:f>
        <ns0:v>11.5</ns0:v>
      </ns0:c>
      <ns0:c r="AA32" s="32">
        <ns0:f>'рабочий'!Z17</ns0:f>
        <ns0:v>11.5</ns0:v>
      </ns0:c>
      <ns0:c r="AB32" s="32">
        <ns0:f>'рабочий'!AA17</ns0:f>
        <ns0:v>11.5</ns0:v>
      </ns0:c>
      <ns0:c r="AC32" s="32">
        <ns0:f>'рабочий'!AB17</ns0:f>
        <ns0:v>11.5</ns0:v>
      </ns0:c>
      <ns0:c r="AD32" s="32">
        <ns0:f>'рабочий'!AC17</ns0:f>
        <ns0:v>11.5</ns0:v>
      </ns0:c>
      <ns0:c r="AE32" s="32">
        <ns0:f>'рабочий'!AD17</ns0:f>
        <ns0:v>10.8</ns0:v>
      </ns0:c>
      <ns0:c r="AF32" s="32">
        <ns0:f>'рабочий'!AE17</ns0:f>
        <ns0:v>10.8</ns0:v>
      </ns0:c>
      <ns0:c r="AG32" s="32">
        <ns0:f>'рабочий'!AF17</ns0:f>
        <ns0:v>10.8</ns0:v>
      </ns0:c>
      <ns0:c r="AH32" s="31" t="n"/>
      <ns0:c r="AI32" s="31" t="inlineStr">
        <ns0:is>
          <ns0:t>не собрано</ns0:t>
        </ns0:is>
      </ns0:c>
      <ns0:c r="AJ32" s="31" t="inlineStr">
        <ns0:is>
          <ns0:t>не собрано</ns0:t>
        </ns0:is>
      </ns0:c>
      <ns0:c r="AK32" s="31" t="inlineStr">
        <ns0:is>
          <ns0:t>не собрано</ns0:t>
        </ns0:is>
      </ns0:c>
      <ns0:c r="AL32" s="31" t="inlineStr">
        <ns0:is>
          <ns0:t>не собрано</ns0:t>
        </ns0:is>
      </ns0:c>
      <ns0:c r="AM32" s="31" t="inlineStr">
        <ns0:is>
          <ns0:t>не собрано</ns0:t>
        </ns0:is>
      </ns0:c>
      <ns0:c r="AN32" s="31" t="inlineStr">
        <ns0:is>
          <ns0:t>не собрано</ns0:t>
        </ns0:is>
      </ns0:c>
      <ns0:c r="AO32" s="31" t="inlineStr">
        <ns0:is>
          <ns0:t>не собрано</ns0:t>
        </ns0:is>
      </ns0:c>
      <ns0:c r="AP32" s="31" t="inlineStr">
        <ns0:is>
          <ns0:t>не собрано</ns0:t>
        </ns0:is>
      </ns0:c>
      <ns0:c r="AQ32" s="31" t="inlineStr">
        <ns0:is>
          <ns0:t>не собрано</ns0:t>
        </ns0:is>
      </ns0:c>
      <ns0:c r="AR32" s="31" t="inlineStr">
        <ns0:is>
          <ns0:t>не собрано</ns0:t>
        </ns0:is>
      </ns0:c>
      <ns0:c r="AS32" s="31" t="inlineStr">
        <ns0:is>
          <ns0:t>не собрано</ns0:t>
        </ns0:is>
      </ns0:c>
      <ns0:c r="AT32" s="31" t="inlineStr">
        <ns0:is>
          <ns0:t>не собрано</ns0:t>
        </ns0:is>
      </ns0:c>
      <ns0:c r="AU32" s="31" t="inlineStr">
        <ns0:is>
          <ns0:t>не собрано</ns0:t>
        </ns0:is>
      </ns0:c>
      <ns0:c r="AV32" s="31" t="inlineStr">
        <ns0:is>
          <ns0:t>не собрано</ns0:t>
        </ns0:is>
      </ns0:c>
      <ns0:c r="AW32" s="31" t="inlineStr">
        <ns0:is>
          <ns0:t>не собрано</ns0:t>
        </ns0:is>
      </ns0:c>
      <ns0:c r="AX32" s="31" t="inlineStr">
        <ns0:is>
          <ns0:t>не собрано</ns0:t>
        </ns0:is>
      </ns0:c>
      <ns0:c r="AY32" s="31" t="inlineStr">
        <ns0:is>
          <ns0:t>не собрано</ns0:t>
        </ns0:is>
      </ns0:c>
      <ns0:c r="AZ32" s="31" t="inlineStr">
        <ns0:is>
          <ns0:t>не собрано</ns0:t>
        </ns0:is>
      </ns0:c>
      <ns0:c r="BA32" s="31" t="inlineStr">
        <ns0:is>
          <ns0:t>не собрано</ns0:t>
        </ns0:is>
      </ns0:c>
      <ns0:c r="BB32" s="31" t="inlineStr">
        <ns0:is>
          <ns0:t>не собрано</ns0:t>
        </ns0:is>
      </ns0:c>
      <ns0:c r="BC32" s="31" t="inlineStr">
        <ns0:is>
          <ns0:t>не собрано</ns0:t>
        </ns0:is>
      </ns0:c>
      <ns0:c r="BD32" s="31" t="inlineStr">
        <ns0:is>
          <ns0:t>не собрано</ns0:t>
        </ns0:is>
      </ns0:c>
      <ns0:c r="BE32" s="31" t="inlineStr">
        <ns0:is>
          <ns0:t>не собрано</ns0:t>
        </ns0:is>
      </ns0:c>
      <ns0:c r="BF32" s="31" t="inlineStr">
        <ns0:is>
          <ns0:t>не собрано</ns0:t>
        </ns0:is>
      </ns0:c>
      <ns0:c r="BG32" s="31" t="inlineStr">
        <ns0:is>
          <ns0:t>не собрано</ns0:t>
        </ns0:is>
      </ns0:c>
      <ns0:c r="BH32" s="31" t="inlineStr">
        <ns0:is>
          <ns0:t>не собрано</ns0:t>
        </ns0:is>
      </ns0:c>
      <ns0:c r="BI32" s="31" t="inlineStr">
        <ns0:is>
          <ns0:t>не собрано</ns0:t>
        </ns0:is>
      </ns0:c>
      <ns0:c r="BJ32" s="31" t="inlineStr">
        <ns0:is>
          <ns0:t>не собрано</ns0:t>
        </ns0:is>
      </ns0:c>
      <ns0:c r="BK32" s="31" t="inlineStr">
        <ns0:is>
          <ns0:t>не собрано</ns0:t>
        </ns0:is>
      </ns0:c>
      <ns0:c r="BL32" s="31" t="inlineStr">
        <ns0:is>
          <ns0:t>не собрано</ns0:t>
        </ns0:is>
      </ns0:c>
    </ns0:row>
    <ns0:row r="33">
      <ns0:c r="A33" s="31" t="n"/>
      <ns0:c r="B33" s="31" t="inlineStr">
        <ns0:is>
          <ns0:t>НоваяЛиния</ns0:t>
        </ns0:is>
      </ns0:c>
      <ns0:c r="C33" s="31" t="b">
        <ns0:v>1</ns0:v>
      </ns0:c>
      <ns0:c r="D33" s="31" t="n"/>
      <ns0:c r="E33" s="31">
        <ns0:f>'рабочий'!D18</ns0:f>
        <ns0:v>600.0</ns0:v>
      </ns0:c>
      <ns0:c r="F33" s="31">
        <ns0:f>'рабочий'!E18</ns0:f>
        <ns0:v>600.0</ns0:v>
      </ns0:c>
      <ns0:c r="G33" s="31">
        <ns0:f>'рабочий'!F18</ns0:f>
        <ns0:v>600.0</ns0:v>
      </ns0:c>
      <ns0:c r="H33" s="31">
        <ns0:f>'рабочий'!G18</ns0:f>
        <ns0:v>600.0</ns0:v>
      </ns0:c>
      <ns0:c r="I33" s="31">
        <ns0:f>'рабочий'!H18</ns0:f>
        <ns0:v>600.0</ns0:v>
      </ns0:c>
      <ns0:c r="J33" s="31">
        <ns0:f>'рабочий'!I18</ns0:f>
        <ns0:v>600.0</ns0:v>
      </ns0:c>
      <ns0:c r="K33" s="31">
        <ns0:f>'рабочий'!J18</ns0:f>
        <ns0:v>600.0</ns0:v>
      </ns0:c>
      <ns0:c r="L33" s="31">
        <ns0:f>'рабочий'!K18</ns0:f>
        <ns0:v>600.0</ns0:v>
      </ns0:c>
      <ns0:c r="M33" s="31">
        <ns0:f>'рабочий'!L18</ns0:f>
        <ns0:v>705.0</ns0:v>
      </ns0:c>
      <ns0:c r="N33" s="31">
        <ns0:f>'рабочий'!M18</ns0:f>
        <ns0:v>600.0</ns0:v>
      </ns0:c>
      <ns0:c r="O33" s="32">
        <ns0:f>'рабочий'!N18</ns0:f>
        <ns0:v>14.1</ns0:v>
      </ns0:c>
      <ns0:c r="P33" s="32">
        <ns0:f>'рабочий'!O18</ns0:f>
        <ns0:v>14.1</ns0:v>
      </ns0:c>
      <ns0:c r="Q33" s="32">
        <ns0:f>'рабочий'!P18</ns0:f>
        <ns0:v>14.1</ns0:v>
      </ns0:c>
      <ns0:c r="R33" s="32">
        <ns0:f>'рабочий'!Q18</ns0:f>
        <ns0:v>13.5</ns0:v>
      </ns0:c>
      <ns0:c r="S33" s="32">
        <ns0:f>'рабочий'!R18</ns0:f>
        <ns0:v>13.5</ns0:v>
      </ns0:c>
      <ns0:c r="T33" s="32">
        <ns0:f>'рабочий'!S18</ns0:f>
        <ns0:v>13.5</ns0:v>
      </ns0:c>
      <ns0:c r="U33" s="32">
        <ns0:f>'рабочий'!T18</ns0:f>
        <ns0:v>13.5</ns0:v>
      </ns0:c>
      <ns0:c r="V33" s="32">
        <ns0:f>'рабочий'!U18</ns0:f>
        <ns0:v>13.5</ns0:v>
      </ns0:c>
      <ns0:c r="W33" s="32">
        <ns0:f>'рабочий'!V18</ns0:f>
        <ns0:v>13.5</ns0:v>
      </ns0:c>
      <ns0:c r="X33" s="32">
        <ns0:f>'рабочий'!W18</ns0:f>
        <ns0:v>13.3</ns0:v>
      </ns0:c>
      <ns0:c r="Y33" s="32">
        <ns0:f>'рабочий'!X18</ns0:f>
        <ns0:v>13.3</ns0:v>
      </ns0:c>
      <ns0:c r="Z33" s="32">
        <ns0:f>'рабочий'!Y18</ns0:f>
        <ns0:v>13.3</ns0:v>
      </ns0:c>
      <ns0:c r="AA33" s="32">
        <ns0:f>'рабочий'!Z18</ns0:f>
        <ns0:v>12.9</ns0:v>
      </ns0:c>
      <ns0:c r="AB33" s="32">
        <ns0:f>'рабочий'!AA18</ns0:f>
        <ns0:v>12.9</ns0:v>
      </ns0:c>
      <ns0:c r="AC33" s="32">
        <ns0:f>'рабочий'!AB18</ns0:f>
        <ns0:v>12.9</ns0:v>
      </ns0:c>
      <ns0:c r="AD33" s="32">
        <ns0:f>'рабочий'!AC18</ns0:f>
        <ns0:v>12.6</ns0:v>
      </ns0:c>
      <ns0:c r="AE33" s="32">
        <ns0:f>'рабочий'!AD18</ns0:f>
        <ns0:v>12.6</ns0:v>
      </ns0:c>
      <ns0:c r="AF33" s="32" t="str">
        <ns0:f>'рабочий'!AE18</ns0:f>
        <ns0:v>по запросу</ns0:v>
      </ns0:c>
      <ns0:c r="AG33" s="32" t="str">
        <ns0:f>'рабочий'!AF18</ns0:f>
        <ns0:v>по запросу</ns0:v>
      </ns0:c>
      <ns0:c r="AH33" s="31" t="n"/>
      <ns0:c r="AI33" s="31" t="inlineStr">
        <ns0:is>
          <ns0:t>не собрано</ns0:t>
        </ns0:is>
      </ns0:c>
      <ns0:c r="AJ33" s="31" t="inlineStr">
        <ns0:is>
          <ns0:t>не собрано</ns0:t>
        </ns0:is>
      </ns0:c>
      <ns0:c r="AK33" s="31" t="inlineStr">
        <ns0:is>
          <ns0:t>не собрано</ns0:t>
        </ns0:is>
      </ns0:c>
      <ns0:c r="AL33" s="31" t="inlineStr">
        <ns0:is>
          <ns0:t>не собрано</ns0:t>
        </ns0:is>
      </ns0:c>
      <ns0:c r="AM33" s="31" t="inlineStr">
        <ns0:is>
          <ns0:t>не собрано</ns0:t>
        </ns0:is>
      </ns0:c>
      <ns0:c r="AN33" s="31" t="inlineStr">
        <ns0:is>
          <ns0:t>не собрано</ns0:t>
        </ns0:is>
      </ns0:c>
      <ns0:c r="AO33" s="31" t="inlineStr">
        <ns0:is>
          <ns0:t>не собрано</ns0:t>
        </ns0:is>
      </ns0:c>
      <ns0:c r="AP33" s="31" t="inlineStr">
        <ns0:is>
          <ns0:t>не собрано</ns0:t>
        </ns0:is>
      </ns0:c>
      <ns0:c r="AQ33" s="31" t="inlineStr">
        <ns0:is>
          <ns0:t>не собрано</ns0:t>
        </ns0:is>
      </ns0:c>
      <ns0:c r="AR33" s="31" t="inlineStr">
        <ns0:is>
          <ns0:t>не собрано</ns0:t>
        </ns0:is>
      </ns0:c>
      <ns0:c r="AS33" s="31" t="inlineStr">
        <ns0:is>
          <ns0:t>не собрано</ns0:t>
        </ns0:is>
      </ns0:c>
      <ns0:c r="AT33" s="31" t="inlineStr">
        <ns0:is>
          <ns0:t>не собрано</ns0:t>
        </ns0:is>
      </ns0:c>
      <ns0:c r="AU33" s="31" t="inlineStr">
        <ns0:is>
          <ns0:t>не собрано</ns0:t>
        </ns0:is>
      </ns0:c>
      <ns0:c r="AV33" s="31" t="inlineStr">
        <ns0:is>
          <ns0:t>не собрано</ns0:t>
        </ns0:is>
      </ns0:c>
      <ns0:c r="AW33" s="31" t="inlineStr">
        <ns0:is>
          <ns0:t>не собрано</ns0:t>
        </ns0:is>
      </ns0:c>
      <ns0:c r="AX33" s="31" t="inlineStr">
        <ns0:is>
          <ns0:t>не собрано</ns0:t>
        </ns0:is>
      </ns0:c>
      <ns0:c r="AY33" s="31" t="inlineStr">
        <ns0:is>
          <ns0:t>не собрано</ns0:t>
        </ns0:is>
      </ns0:c>
      <ns0:c r="AZ33" s="31" t="inlineStr">
        <ns0:is>
          <ns0:t>не собрано</ns0:t>
        </ns0:is>
      </ns0:c>
      <ns0:c r="BA33" s="31" t="inlineStr">
        <ns0:is>
          <ns0:t>не собрано</ns0:t>
        </ns0:is>
      </ns0:c>
      <ns0:c r="BB33" s="31" t="inlineStr">
        <ns0:is>
          <ns0:t>не собрано</ns0:t>
        </ns0:is>
      </ns0:c>
      <ns0:c r="BC33" s="31" t="inlineStr">
        <ns0:is>
          <ns0:t>не собрано</ns0:t>
        </ns0:is>
      </ns0:c>
      <ns0:c r="BD33" s="31" t="inlineStr">
        <ns0:is>
          <ns0:t>не собрано</ns0:t>
        </ns0:is>
      </ns0:c>
      <ns0:c r="BE33" s="31" t="inlineStr">
        <ns0:is>
          <ns0:t>не собрано</ns0:t>
        </ns0:is>
      </ns0:c>
      <ns0:c r="BF33" s="31" t="inlineStr">
        <ns0:is>
          <ns0:t>не собрано</ns0:t>
        </ns0:is>
      </ns0:c>
      <ns0:c r="BG33" s="31" t="inlineStr">
        <ns0:is>
          <ns0:t>не собрано</ns0:t>
        </ns0:is>
      </ns0:c>
      <ns0:c r="BH33" s="31" t="inlineStr">
        <ns0:is>
          <ns0:t>не собрано</ns0:t>
        </ns0:is>
      </ns0:c>
      <ns0:c r="BI33" s="31" t="inlineStr">
        <ns0:is>
          <ns0:t>не собрано</ns0:t>
        </ns0:is>
      </ns0:c>
      <ns0:c r="BJ33" s="31" t="inlineStr">
        <ns0:is>
          <ns0:t>не собрано</ns0:t>
        </ns0:is>
      </ns0:c>
      <ns0:c r="BK33" s="31" t="inlineStr">
        <ns0:is>
          <ns0:t>не собрано</ns0:t>
        </ns0:is>
      </ns0:c>
      <ns0:c r="BL33" s="31" t="inlineStr">
        <ns0:is>
          <ns0:t>не собрано</ns0:t>
        </ns0:is>
      </ns0:c>
    </ns0:row>
    <ns0:row r="34">
      <ns0:c r="A34" s="31" t="n"/>
      <ns0:c r="B34" s="31" t="inlineStr">
        <ns0:is>
          <ns0:t>БСК</ns0:t>
        </ns0:is>
      </ns0:c>
      <ns0:c r="C34" s="31" t="b">
        <ns0:v>1</ns0:v>
      </ns0:c>
      <ns0:c r="D34" s="31" t="n"/>
      <ns0:c r="E34" s="31">
        <ns0:f>'рабочий'!D19</ns0:f>
        <ns0:v>450.0</ns0:v>
      </ns0:c>
      <ns0:c r="F34" s="31">
        <ns0:f>'рабочий'!E19</ns0:f>
        <ns0:v>450.0</ns0:v>
      </ns0:c>
      <ns0:c r="G34" s="31">
        <ns0:f>'рабочий'!F19</ns0:f>
        <ns0:v>450.0</ns0:v>
      </ns0:c>
      <ns0:c r="H34" s="31">
        <ns0:f>'рабочий'!G19</ns0:f>
        <ns0:v>450.0</ns0:v>
      </ns0:c>
      <ns0:c r="I34" s="31">
        <ns0:f>'рабочий'!H19</ns0:f>
        <ns0:v>450.0</ns0:v>
      </ns0:c>
      <ns0:c r="J34" s="31">
        <ns0:f>'рабочий'!I19</ns0:f>
        <ns0:v>450.0</ns0:v>
      </ns0:c>
      <ns0:c r="K34" s="31">
        <ns0:f>'рабочий'!J19</ns0:f>
        <ns0:v>450.0</ns0:v>
      </ns0:c>
      <ns0:c r="L34" s="31">
        <ns0:f>'рабочий'!K19</ns0:f>
        <ns0:v>480.0</ns0:v>
      </ns0:c>
      <ns0:c r="M34" s="31">
        <ns0:f>'рабочий'!L19</ns0:f>
        <ns0:v>600.0</ns0:v>
      </ns0:c>
      <ns0:c r="N34" s="31">
        <ns0:f>'рабочий'!M19</ns0:f>
        <ns0:v>450.0</ns0:v>
      </ns0:c>
      <ns0:c r="O34" s="32">
        <ns0:f>'рабочий'!N19</ns0:f>
        <ns0:v>12.0</ns0:v>
      </ns0:c>
      <ns0:c r="P34" s="32">
        <ns0:f>'рабочий'!O19</ns0:f>
        <ns0:v>12.0</ns0:v>
      </ns0:c>
      <ns0:c r="Q34" s="32">
        <ns0:f>'рабочий'!P19</ns0:f>
        <ns0:v>12.0</ns0:v>
      </ns0:c>
      <ns0:c r="R34" s="32">
        <ns0:f>'рабочий'!Q19</ns0:f>
        <ns0:v>12.0</ns0:v>
      </ns0:c>
      <ns0:c r="S34" s="32">
        <ns0:f>'рабочий'!R19</ns0:f>
        <ns0:v>12.0</ns0:v>
      </ns0:c>
      <ns0:c r="T34" s="32">
        <ns0:f>'рабочий'!S19</ns0:f>
        <ns0:v>12.0</ns0:v>
      </ns0:c>
      <ns0:c r="U34" s="32">
        <ns0:f>'рабочий'!T19</ns0:f>
        <ns0:v>11.5</ns0:v>
      </ns0:c>
      <ns0:c r="V34" s="32">
        <ns0:f>'рабочий'!U19</ns0:f>
        <ns0:v>11.5</ns0:v>
      </ns0:c>
      <ns0:c r="W34" s="32">
        <ns0:f>'рабочий'!V19</ns0:f>
        <ns0:v>11.5</ns0:v>
      </ns0:c>
      <ns0:c r="X34" s="32">
        <ns0:f>'рабочий'!W19</ns0:f>
        <ns0:v>11.5</ns0:v>
      </ns0:c>
      <ns0:c r="Y34" s="32">
        <ns0:f>'рабочий'!X19</ns0:f>
        <ns0:v>11.5</ns0:v>
      </ns0:c>
      <ns0:c r="Z34" s="32">
        <ns0:f>'рабочий'!Y19</ns0:f>
        <ns0:v>11.0</ns0:v>
      </ns0:c>
      <ns0:c r="AA34" s="32">
        <ns0:f>'рабочий'!Z19</ns0:f>
        <ns0:v>11.0</ns0:v>
      </ns0:c>
      <ns0:c r="AB34" s="32">
        <ns0:f>'рабочий'!AA19</ns0:f>
        <ns0:v>10.5</ns0:v>
      </ns0:c>
      <ns0:c r="AC34" s="32">
        <ns0:f>'рабочий'!AB19</ns0:f>
        <ns0:v>10.5</ns0:v>
      </ns0:c>
      <ns0:c r="AD34" s="32">
        <ns0:f>'рабочий'!AC19</ns0:f>
        <ns0:v>10.5</ns0:v>
      </ns0:c>
      <ns0:c r="AE34" s="32">
        <ns0:f>'рабочий'!AD19</ns0:f>
        <ns0:v>10.0</ns0:v>
      </ns0:c>
      <ns0:c r="AF34" s="32">
        <ns0:f>'рабочий'!AE19</ns0:f>
        <ns0:v>10.0</ns0:v>
      </ns0:c>
      <ns0:c r="AG34" s="32">
        <ns0:f>'рабочий'!AF19</ns0:f>
        <ns0:v>10.0</ns0:v>
      </ns0:c>
      <ns0:c r="AH34" s="31" t="n"/>
      <ns0:c r="AI34" s="31" t="inlineStr">
        <ns0:is>
          <ns0:t>не собрано</ns0:t>
        </ns0:is>
      </ns0:c>
      <ns0:c r="AJ34" s="31" t="inlineStr">
        <ns0:is>
          <ns0:t>не собрано</ns0:t>
        </ns0:is>
      </ns0:c>
      <ns0:c r="AK34" s="31" t="inlineStr">
        <ns0:is>
          <ns0:t>не собрано</ns0:t>
        </ns0:is>
      </ns0:c>
      <ns0:c r="AL34" s="31" t="inlineStr">
        <ns0:is>
          <ns0:t>не собрано</ns0:t>
        </ns0:is>
      </ns0:c>
      <ns0:c r="AM34" s="31" t="inlineStr">
        <ns0:is>
          <ns0:t>не собрано</ns0:t>
        </ns0:is>
      </ns0:c>
      <ns0:c r="AN34" s="31" t="inlineStr">
        <ns0:is>
          <ns0:t>не собрано</ns0:t>
        </ns0:is>
      </ns0:c>
      <ns0:c r="AO34" s="31" t="inlineStr">
        <ns0:is>
          <ns0:t>не собрано</ns0:t>
        </ns0:is>
      </ns0:c>
      <ns0:c r="AP34" s="31" t="inlineStr">
        <ns0:is>
          <ns0:t>не собрано</ns0:t>
        </ns0:is>
      </ns0:c>
      <ns0:c r="AQ34" s="31" t="inlineStr">
        <ns0:is>
          <ns0:t>не собрано</ns0:t>
        </ns0:is>
      </ns0:c>
      <ns0:c r="AR34" s="31" t="inlineStr">
        <ns0:is>
          <ns0:t>не собрано</ns0:t>
        </ns0:is>
      </ns0:c>
      <ns0:c r="AS34" s="31" t="inlineStr">
        <ns0:is>
          <ns0:t>не собрано</ns0:t>
        </ns0:is>
      </ns0:c>
      <ns0:c r="AT34" s="31" t="inlineStr">
        <ns0:is>
          <ns0:t>не собрано</ns0:t>
        </ns0:is>
      </ns0:c>
      <ns0:c r="AU34" s="31" t="inlineStr">
        <ns0:is>
          <ns0:t>не собрано</ns0:t>
        </ns0:is>
      </ns0:c>
      <ns0:c r="AV34" s="31" t="inlineStr">
        <ns0:is>
          <ns0:t>не собрано</ns0:t>
        </ns0:is>
      </ns0:c>
      <ns0:c r="AW34" s="31" t="inlineStr">
        <ns0:is>
          <ns0:t>не собрано</ns0:t>
        </ns0:is>
      </ns0:c>
      <ns0:c r="AX34" s="31" t="inlineStr">
        <ns0:is>
          <ns0:t>не собрано</ns0:t>
        </ns0:is>
      </ns0:c>
      <ns0:c r="AY34" s="31" t="inlineStr">
        <ns0:is>
          <ns0:t>не собрано</ns0:t>
        </ns0:is>
      </ns0:c>
      <ns0:c r="AZ34" s="31" t="inlineStr">
        <ns0:is>
          <ns0:t>не собрано</ns0:t>
        </ns0:is>
      </ns0:c>
      <ns0:c r="BA34" s="31" t="inlineStr">
        <ns0:is>
          <ns0:t>не собрано</ns0:t>
        </ns0:is>
      </ns0:c>
      <ns0:c r="BB34" s="31" t="inlineStr">
        <ns0:is>
          <ns0:t>не собрано</ns0:t>
        </ns0:is>
      </ns0:c>
      <ns0:c r="BC34" s="31" t="inlineStr">
        <ns0:is>
          <ns0:t>не собрано</ns0:t>
        </ns0:is>
      </ns0:c>
      <ns0:c r="BD34" s="31" t="inlineStr">
        <ns0:is>
          <ns0:t>не собрано</ns0:t>
        </ns0:is>
      </ns0:c>
      <ns0:c r="BE34" s="31" t="inlineStr">
        <ns0:is>
          <ns0:t>не собрано</ns0:t>
        </ns0:is>
      </ns0:c>
      <ns0:c r="BF34" s="31" t="inlineStr">
        <ns0:is>
          <ns0:t>не собрано</ns0:t>
        </ns0:is>
      </ns0:c>
      <ns0:c r="BG34" s="31" t="inlineStr">
        <ns0:is>
          <ns0:t>не собрано</ns0:t>
        </ns0:is>
      </ns0:c>
      <ns0:c r="BH34" s="31" t="inlineStr">
        <ns0:is>
          <ns0:t>не собрано</ns0:t>
        </ns0:is>
      </ns0:c>
      <ns0:c r="BI34" s="31" t="inlineStr">
        <ns0:is>
          <ns0:t>не собрано</ns0:t>
        </ns0:is>
      </ns0:c>
      <ns0:c r="BJ34" s="31" t="inlineStr">
        <ns0:is>
          <ns0:t>не собрано</ns0:t>
        </ns0:is>
      </ns0:c>
      <ns0:c r="BK34" s="31" t="inlineStr">
        <ns0:is>
          <ns0:t>не собрано</ns0:t>
        </ns0:is>
      </ns0:c>
      <ns0:c r="BL34" s="31" t="inlineStr">
        <ns0:is>
          <ns0:t>не собрано</ns0:t>
        </ns0:is>
      </ns0:c>
    </ns0:row>
    <ns0:row r="35">
      <ns0:c r="A35" s="31" t="n"/>
      <ns0:c r="B35" s="31" t="inlineStr">
        <ns0:is>
          <ns0:t>ЭкспедицияПлюс</ns0:t>
        </ns0:is>
      </ns0:c>
      <ns0:c r="C35" s="31" t="b">
        <ns0:v>1</ns0:v>
      </ns0:c>
      <ns0:c r="D35" s="31" t="n"/>
      <ns0:c r="E35" s="31">
        <ns0:f>'рабочий'!D20</ns0:f>
        <ns0:v>650.0</ns0:v>
      </ns0:c>
      <ns0:c r="F35" s="31">
        <ns0:f>'рабочий'!E20</ns0:f>
        <ns0:v>650.0</ns0:v>
      </ns0:c>
      <ns0:c r="G35" s="31">
        <ns0:f>'рабочий'!F20</ns0:f>
        <ns0:v>650.0</ns0:v>
      </ns0:c>
      <ns0:c r="H35" s="31">
        <ns0:f>'рабочий'!G20</ns0:f>
        <ns0:v>650.0</ns0:v>
      </ns0:c>
      <ns0:c r="I35" s="31">
        <ns0:f>'рабочий'!H20</ns0:f>
        <ns0:v>650.0</ns0:v>
      </ns0:c>
      <ns0:c r="J35" s="31">
        <ns0:f>'рабочий'!I20</ns0:f>
        <ns0:v>650.0</ns0:v>
      </ns0:c>
      <ns0:c r="K35" s="31">
        <ns0:f>'рабочий'!J20</ns0:f>
        <ns0:v>650.0</ns0:v>
      </ns0:c>
      <ns0:c r="L35" s="31">
        <ns0:f>'рабочий'!K20</ns0:f>
        <ns0:v>650.0</ns0:v>
      </ns0:c>
      <ns0:c r="M35" s="31">
        <ns0:f>'рабочий'!L20</ns0:f>
        <ns0:v>747.5</ns0:v>
      </ns0:c>
      <ns0:c r="N35" s="31">
        <ns0:f>'рабочий'!M20</ns0:f>
        <ns0:v>650.0</ns0:v>
      </ns0:c>
      <ns0:c r="O35" s="32">
        <ns0:f>'рабочий'!N20</ns0:f>
        <ns0:v>14.95</ns0:v>
      </ns0:c>
      <ns0:c r="P35" s="32">
        <ns0:f>'рабочий'!O20</ns0:f>
        <ns0:v>14.8</ns0:v>
      </ns0:c>
      <ns0:c r="Q35" s="32">
        <ns0:f>'рабочий'!P20</ns0:f>
        <ns0:v>14.8</ns0:v>
      </ns0:c>
      <ns0:c r="R35" s="32">
        <ns0:f>'рабочий'!Q20</ns0:f>
        <ns0:v>14.8</ns0:v>
      </ns0:c>
      <ns0:c r="S35" s="32">
        <ns0:f>'рабочий'!R20</ns0:f>
        <ns0:v>14.4542</ns0:v>
      </ns0:c>
      <ns0:c r="T35" s="32">
        <ns0:f>'рабочий'!S20</ns0:f>
        <ns0:v>14.4542</ns0:v>
      </ns0:c>
      <ns0:c r="U35" s="32">
        <ns0:f>'рабочий'!T20</ns0:f>
        <ns0:v>14.341</ns0:v>
      </ns0:c>
      <ns0:c r="V35" s="32">
        <ns0:f>'рабочий'!U20</ns0:f>
        <ns0:v>14.341</ns0:v>
      </ns0:c>
      <ns0:c r="W35" s="32">
        <ns0:f>'рабочий'!V20</ns0:f>
        <ns0:v>14.341</ns0:v>
      </ns0:c>
      <ns0:c r="X35" s="32">
        <ns0:f>'рабочий'!W20</ns0:f>
        <ns0:v>14.341</ns0:v>
      </ns0:c>
      <ns0:c r="Y35" s="32">
        <ns0:f>'рабочий'!X20</ns0:f>
        <ns0:v>14.066</ns0:v>
      </ns0:c>
      <ns0:c r="Z35" s="32">
        <ns0:f>'рабочий'!Y20</ns0:f>
        <ns0:v>14.066</ns0:v>
      </ns0:c>
      <ns0:c r="AA35" s="32">
        <ns0:f>'рабочий'!Z20</ns0:f>
        <ns0:v>14.066</ns0:v>
      </ns0:c>
      <ns0:c r="AB35" s="32">
        <ns0:f>'рабочий'!AA20</ns0:f>
        <ns0:v>13.7103</ns0:v>
      </ns0:c>
      <ns0:c r="AC35" s="32">
        <ns0:f>'рабочий'!AB20</ns0:f>
        <ns0:v>13.3059</ns0:v>
      </ns0:c>
      <ns0:c r="AD35" s="32">
        <ns0:f>'рабочий'!AC20</ns0:f>
        <ns0:v>13.3059</ns0:v>
      </ns0:c>
      <ns0:c r="AE35" s="32">
        <ns0:f>'рабочий'!AD20</ns0:f>
        <ns0:v>12.9663</ns0:v>
      </ns0:c>
      <ns0:c r="AF35" s="32">
        <ns0:f>'рабочий'!AE20</ns0:f>
        <ns0:v>12.9663</ns0:v>
      </ns0:c>
      <ns0:c r="AG35" s="32">
        <ns0:f>'рабочий'!AF20</ns0:f>
        <ns0:v>12.9663</ns0:v>
      </ns0:c>
      <ns0:c r="AH35" s="31" t="n"/>
      <ns0:c r="AI35" s="31" t="inlineStr">
        <ns0:is>
          <ns0:t>не собрано</ns0:t>
        </ns0:is>
      </ns0:c>
      <ns0:c r="AJ35" s="31" t="inlineStr">
        <ns0:is>
          <ns0:t>не собрано</ns0:t>
        </ns0:is>
      </ns0:c>
      <ns0:c r="AK35" s="31" t="inlineStr">
        <ns0:is>
          <ns0:t>не собрано</ns0:t>
        </ns0:is>
      </ns0:c>
      <ns0:c r="AL35" s="31" t="inlineStr">
        <ns0:is>
          <ns0:t>не собрано</ns0:t>
        </ns0:is>
      </ns0:c>
      <ns0:c r="AM35" s="31" t="inlineStr">
        <ns0:is>
          <ns0:t>не собрано</ns0:t>
        </ns0:is>
      </ns0:c>
      <ns0:c r="AN35" s="31" t="inlineStr">
        <ns0:is>
          <ns0:t>не собрано</ns0:t>
        </ns0:is>
      </ns0:c>
      <ns0:c r="AO35" s="31" t="inlineStr">
        <ns0:is>
          <ns0:t>не собрано</ns0:t>
        </ns0:is>
      </ns0:c>
      <ns0:c r="AP35" s="31" t="inlineStr">
        <ns0:is>
          <ns0:t>не собрано</ns0:t>
        </ns0:is>
      </ns0:c>
      <ns0:c r="AQ35" s="31" t="inlineStr">
        <ns0:is>
          <ns0:t>не собрано</ns0:t>
        </ns0:is>
      </ns0:c>
      <ns0:c r="AR35" s="31" t="inlineStr">
        <ns0:is>
          <ns0:t>не собрано</ns0:t>
        </ns0:is>
      </ns0:c>
      <ns0:c r="AS35" s="31" t="inlineStr">
        <ns0:is>
          <ns0:t>не собрано</ns0:t>
        </ns0:is>
      </ns0:c>
      <ns0:c r="AT35" s="31" t="inlineStr">
        <ns0:is>
          <ns0:t>не собрано</ns0:t>
        </ns0:is>
      </ns0:c>
      <ns0:c r="AU35" s="31" t="inlineStr">
        <ns0:is>
          <ns0:t>не собрано</ns0:t>
        </ns0:is>
      </ns0:c>
      <ns0:c r="AV35" s="31" t="inlineStr">
        <ns0:is>
          <ns0:t>не собрано</ns0:t>
        </ns0:is>
      </ns0:c>
      <ns0:c r="AW35" s="31" t="inlineStr">
        <ns0:is>
          <ns0:t>не собрано</ns0:t>
        </ns0:is>
      </ns0:c>
      <ns0:c r="AX35" s="31" t="inlineStr">
        <ns0:is>
          <ns0:t>не собрано</ns0:t>
        </ns0:is>
      </ns0:c>
      <ns0:c r="AY35" s="31" t="inlineStr">
        <ns0:is>
          <ns0:t>не собрано</ns0:t>
        </ns0:is>
      </ns0:c>
      <ns0:c r="AZ35" s="31" t="inlineStr">
        <ns0:is>
          <ns0:t>не собрано</ns0:t>
        </ns0:is>
      </ns0:c>
      <ns0:c r="BA35" s="31" t="inlineStr">
        <ns0:is>
          <ns0:t>не собрано</ns0:t>
        </ns0:is>
      </ns0:c>
      <ns0:c r="BB35" s="31" t="inlineStr">
        <ns0:is>
          <ns0:t>не собрано</ns0:t>
        </ns0:is>
      </ns0:c>
      <ns0:c r="BC35" s="31" t="inlineStr">
        <ns0:is>
          <ns0:t>не собрано</ns0:t>
        </ns0:is>
      </ns0:c>
      <ns0:c r="BD35" s="31" t="inlineStr">
        <ns0:is>
          <ns0:t>не собрано</ns0:t>
        </ns0:is>
      </ns0:c>
      <ns0:c r="BE35" s="31" t="inlineStr">
        <ns0:is>
          <ns0:t>не собрано</ns0:t>
        </ns0:is>
      </ns0:c>
      <ns0:c r="BF35" s="31" t="inlineStr">
        <ns0:is>
          <ns0:t>не собрано</ns0:t>
        </ns0:is>
      </ns0:c>
      <ns0:c r="BG35" s="31" t="inlineStr">
        <ns0:is>
          <ns0:t>не собрано</ns0:t>
        </ns0:is>
      </ns0:c>
      <ns0:c r="BH35" s="31" t="inlineStr">
        <ns0:is>
          <ns0:t>не собрано</ns0:t>
        </ns0:is>
      </ns0:c>
      <ns0:c r="BI35" s="31" t="inlineStr">
        <ns0:is>
          <ns0:t>не собрано</ns0:t>
        </ns0:is>
      </ns0:c>
      <ns0:c r="BJ35" s="31" t="inlineStr">
        <ns0:is>
          <ns0:t>не собрано</ns0:t>
        </ns0:is>
      </ns0:c>
      <ns0:c r="BK35" s="31" t="inlineStr">
        <ns0:is>
          <ns0:t>не собрано</ns0:t>
        </ns0:is>
      </ns0:c>
      <ns0:c r="BL35" s="31" t="inlineStr">
        <ns0:is>
          <ns0:t>не собрано</ns0:t>
        </ns0:is>
      </ns0:c>
    </ns0:row>
    <ns0:row r="36">
      <ns0:c r="A36" s="31" t="n"/>
      <ns0:c r="B36" s="31" t="inlineStr">
        <ns0:is>
          <ns0:t>CTSgroup</ns0:t>
        </ns0:is>
      </ns0:c>
      <ns0:c r="C36" s="31" t="b">
        <ns0:v>1</ns0:v>
      </ns0:c>
      <ns0:c r="D36" s="31" t="n"/>
      <ns0:c r="E36" s="31">
        <ns0:f>'рабочий'!D21</ns0:f>
        <ns0:v>300.0</ns0:v>
      </ns0:c>
      <ns0:c r="F36" s="31">
        <ns0:f>'рабочий'!E21</ns0:f>
        <ns0:v>300.0</ns0:v>
      </ns0:c>
      <ns0:c r="G36" s="31">
        <ns0:f>'рабочий'!F21</ns0:f>
        <ns0:v>300.0</ns0:v>
      </ns0:c>
      <ns0:c r="H36" s="31">
        <ns0:f>'рабочий'!G21</ns0:f>
        <ns0:v>300.0</ns0:v>
      </ns0:c>
      <ns0:c r="I36" s="31">
        <ns0:f>'рабочий'!H21</ns0:f>
        <ns0:v>300.0</ns0:v>
      </ns0:c>
      <ns0:c r="J36" s="31">
        <ns0:f>'рабочий'!I21</ns0:f>
        <ns0:v>300.0</ns0:v>
      </ns0:c>
      <ns0:c r="K36" s="31">
        <ns0:f>'рабочий'!J21</ns0:f>
        <ns0:v>346.5</ns0:v>
      </ns0:c>
      <ns0:c r="L36" s="31">
        <ns0:f>'рабочий'!K21</ns0:f>
        <ns0:v>396.0</ns0:v>
      </ns0:c>
      <ns0:c r="M36" s="31">
        <ns0:f>'рабочий'!L21</ns0:f>
        <ns0:v>495.0</ns0:v>
      </ns0:c>
      <ns0:c r="N36" s="31">
        <ns0:f>'рабочий'!M21</ns0:f>
        <ns0:v>300.0</ns0:v>
      </ns0:c>
      <ns0:c r="O36" s="32">
        <ns0:f>'рабочий'!N21</ns0:f>
        <ns0:v>9.9</ns0:v>
      </ns0:c>
      <ns0:c r="P36" s="32">
        <ns0:f>'рабочий'!O21</ns0:f>
        <ns0:v>9.9</ns0:v>
      </ns0:c>
      <ns0:c r="Q36" s="32">
        <ns0:f>'рабочий'!P21</ns0:f>
        <ns0:v>9.7</ns0:v>
      </ns0:c>
      <ns0:c r="R36" s="32">
        <ns0:f>'рабочий'!Q21</ns0:f>
        <ns0:v>9.7</ns0:v>
      </ns0:c>
      <ns0:c r="S36" s="32">
        <ns0:f>'рабочий'!R21</ns0:f>
        <ns0:v>9.7</ns0:v>
      </ns0:c>
      <ns0:c r="T36" s="32">
        <ns0:f>'рабочий'!S21</ns0:f>
        <ns0:v>9.7</ns0:v>
      </ns0:c>
      <ns0:c r="U36" s="32">
        <ns0:f>'рабочий'!T21</ns0:f>
        <ns0:v>9.5</ns0:v>
      </ns0:c>
      <ns0:c r="V36" s="32">
        <ns0:f>'рабочий'!U21</ns0:f>
        <ns0:v>9.5</ns0:v>
      </ns0:c>
      <ns0:c r="W36" s="32">
        <ns0:f>'рабочий'!V21</ns0:f>
        <ns0:v>9.5</ns0:v>
      </ns0:c>
      <ns0:c r="X36" s="32">
        <ns0:f>'рабочий'!W21</ns0:f>
        <ns0:v>9.5</ns0:v>
      </ns0:c>
      <ns0:c r="Y36" s="32">
        <ns0:f>'рабочий'!X21</ns0:f>
        <ns0:v>9.5</ns0:v>
      </ns0:c>
      <ns0:c r="Z36" s="32">
        <ns0:f>'рабочий'!Y21</ns0:f>
        <ns0:v>9.3</ns0:v>
      </ns0:c>
      <ns0:c r="AA36" s="32">
        <ns0:f>'рабочий'!Z21</ns0:f>
        <ns0:v>9.3</ns0:v>
      </ns0:c>
      <ns0:c r="AB36" s="32">
        <ns0:f>'рабочий'!AA21</ns0:f>
        <ns0:v>9.0</ns0:v>
      </ns0:c>
      <ns0:c r="AC36" s="32">
        <ns0:f>'рабочий'!AB21</ns0:f>
        <ns0:v>9.0</ns0:v>
      </ns0:c>
      <ns0:c r="AD36" s="32">
        <ns0:f>'рабочий'!AC21</ns0:f>
        <ns0:v>9.0</ns0:v>
      </ns0:c>
      <ns0:c r="AE36" s="32">
        <ns0:f>'рабочий'!AD21</ns0:f>
        <ns0:v>9.0</ns0:v>
      </ns0:c>
      <ns0:c r="AF36" s="32">
        <ns0:f>'рабочий'!AE21</ns0:f>
        <ns0:v>9.0</ns0:v>
      </ns0:c>
      <ns0:c r="AG36" s="32">
        <ns0:f>'рабочий'!AF21</ns0:f>
        <ns0:v>9.0</ns0:v>
      </ns0:c>
      <ns0:c r="AH36" s="31" t="n"/>
      <ns0:c r="AI36" s="31" t="inlineStr">
        <ns0:is>
          <ns0:t>не собрано</ns0:t>
        </ns0:is>
      </ns0:c>
      <ns0:c r="AJ36" s="31" t="inlineStr">
        <ns0:is>
          <ns0:t>не собрано</ns0:t>
        </ns0:is>
      </ns0:c>
      <ns0:c r="AK36" s="31" t="inlineStr">
        <ns0:is>
          <ns0:t>не собрано</ns0:t>
        </ns0:is>
      </ns0:c>
      <ns0:c r="AL36" s="31" t="inlineStr">
        <ns0:is>
          <ns0:t>не собрано</ns0:t>
        </ns0:is>
      </ns0:c>
      <ns0:c r="AM36" s="31" t="inlineStr">
        <ns0:is>
          <ns0:t>не собрано</ns0:t>
        </ns0:is>
      </ns0:c>
      <ns0:c r="AN36" s="31" t="inlineStr">
        <ns0:is>
          <ns0:t>не собрано</ns0:t>
        </ns0:is>
      </ns0:c>
      <ns0:c r="AO36" s="31" t="inlineStr">
        <ns0:is>
          <ns0:t>не собрано</ns0:t>
        </ns0:is>
      </ns0:c>
      <ns0:c r="AP36" s="31" t="inlineStr">
        <ns0:is>
          <ns0:t>не собрано</ns0:t>
        </ns0:is>
      </ns0:c>
      <ns0:c r="AQ36" s="31" t="inlineStr">
        <ns0:is>
          <ns0:t>не собрано</ns0:t>
        </ns0:is>
      </ns0:c>
      <ns0:c r="AR36" s="31" t="inlineStr">
        <ns0:is>
          <ns0:t>не собрано</ns0:t>
        </ns0:is>
      </ns0:c>
      <ns0:c r="AS36" s="31" t="inlineStr">
        <ns0:is>
          <ns0:t>не собрано</ns0:t>
        </ns0:is>
      </ns0:c>
      <ns0:c r="AT36" s="31" t="inlineStr">
        <ns0:is>
          <ns0:t>не собрано</ns0:t>
        </ns0:is>
      </ns0:c>
      <ns0:c r="AU36" s="31" t="inlineStr">
        <ns0:is>
          <ns0:t>не собрано</ns0:t>
        </ns0:is>
      </ns0:c>
      <ns0:c r="AV36" s="31" t="inlineStr">
        <ns0:is>
          <ns0:t>не собрано</ns0:t>
        </ns0:is>
      </ns0:c>
      <ns0:c r="AW36" s="31" t="inlineStr">
        <ns0:is>
          <ns0:t>не собрано</ns0:t>
        </ns0:is>
      </ns0:c>
      <ns0:c r="AX36" s="31" t="inlineStr">
        <ns0:is>
          <ns0:t>не собрано</ns0:t>
        </ns0:is>
      </ns0:c>
      <ns0:c r="AY36" s="31" t="inlineStr">
        <ns0:is>
          <ns0:t>не собрано</ns0:t>
        </ns0:is>
      </ns0:c>
      <ns0:c r="AZ36" s="31" t="inlineStr">
        <ns0:is>
          <ns0:t>не собрано</ns0:t>
        </ns0:is>
      </ns0:c>
      <ns0:c r="BA36" s="31" t="inlineStr">
        <ns0:is>
          <ns0:t>не собрано</ns0:t>
        </ns0:is>
      </ns0:c>
      <ns0:c r="BB36" s="31" t="inlineStr">
        <ns0:is>
          <ns0:t>не собрано</ns0:t>
        </ns0:is>
      </ns0:c>
      <ns0:c r="BC36" s="31" t="inlineStr">
        <ns0:is>
          <ns0:t>не собрано</ns0:t>
        </ns0:is>
      </ns0:c>
      <ns0:c r="BD36" s="31" t="inlineStr">
        <ns0:is>
          <ns0:t>не собрано</ns0:t>
        </ns0:is>
      </ns0:c>
      <ns0:c r="BE36" s="31" t="inlineStr">
        <ns0:is>
          <ns0:t>не собрано</ns0:t>
        </ns0:is>
      </ns0:c>
      <ns0:c r="BF36" s="31" t="inlineStr">
        <ns0:is>
          <ns0:t>не собрано</ns0:t>
        </ns0:is>
      </ns0:c>
      <ns0:c r="BG36" s="31" t="inlineStr">
        <ns0:is>
          <ns0:t>не собрано</ns0:t>
        </ns0:is>
      </ns0:c>
      <ns0:c r="BH36" s="31" t="inlineStr">
        <ns0:is>
          <ns0:t>не собрано</ns0:t>
        </ns0:is>
      </ns0:c>
      <ns0:c r="BI36" s="31" t="inlineStr">
        <ns0:is>
          <ns0:t>не собрано</ns0:t>
        </ns0:is>
      </ns0:c>
      <ns0:c r="BJ36" s="31" t="inlineStr">
        <ns0:is>
          <ns0:t>не собрано</ns0:t>
        </ns0:is>
      </ns0:c>
      <ns0:c r="BK36" s="31" t="inlineStr">
        <ns0:is>
          <ns0:t>не собрано</ns0:t>
        </ns0:is>
      </ns0:c>
      <ns0:c r="BL36" s="31" t="inlineStr">
        <ns0:is>
          <ns0:t>не собрано</ns0:t>
        </ns0:is>
      </ns0:c>
    </ns0:row>
    <ns0:row r="37">
      <ns0:c r="A37" s="31" t="n"/>
      <ns0:c r="B37" s="31" t="inlineStr">
        <ns0:is>
          <ns0:t>Енисей</ns0:t>
        </ns0:is>
      </ns0:c>
      <ns0:c r="C37" s="31" t="b">
        <ns0:v>0</ns0:v>
      </ns0:c>
      <ns0:c r="D37" s="31" t="n"/>
      <ns0:c r="E37" s="31" t="str">
        <ns0:f>'рабочий'!D22</ns0:f>
        <ns0:v>не выбрана</ns0:v>
      </ns0:c>
      <ns0:c r="F37" s="31" t="str">
        <ns0:f>'рабочий'!E22</ns0:f>
        <ns0:v>не выбрана</ns0:v>
      </ns0:c>
      <ns0:c r="G37" s="31" t="str">
        <ns0:f>'рабочий'!F22</ns0:f>
        <ns0:v>не выбрана</ns0:v>
      </ns0:c>
      <ns0:c r="H37" s="31" t="str">
        <ns0:f>'рабочий'!G22</ns0:f>
        <ns0:v>не выбрана</ns0:v>
      </ns0:c>
      <ns0:c r="I37" s="31" t="str">
        <ns0:f>'рабочий'!H22</ns0:f>
        <ns0:v>не выбрана</ns0:v>
      </ns0:c>
      <ns0:c r="J37" s="31" t="str">
        <ns0:f>'рабочий'!I22</ns0:f>
        <ns0:v>не выбрана</ns0:v>
      </ns0:c>
      <ns0:c r="K37" s="31" t="str">
        <ns0:f>'рабочий'!J22</ns0:f>
        <ns0:v>не выбрана</ns0:v>
      </ns0:c>
      <ns0:c r="L37" s="31" t="str">
        <ns0:f>'рабочий'!K22</ns0:f>
        <ns0:v>не выбрана</ns0:v>
      </ns0:c>
      <ns0:c r="M37" s="31" t="str">
        <ns0:f>'рабочий'!L22</ns0:f>
        <ns0:v>не выбрана</ns0:v>
      </ns0:c>
      <ns0:c r="N37" s="31" t="str">
        <ns0:f>'рабочий'!M22</ns0:f>
        <ns0:v>не выбрана</ns0:v>
      </ns0:c>
      <ns0:c r="O37" s="32" t="str">
        <ns0:f>'рабочий'!N22</ns0:f>
        <ns0:v>не выбрана</ns0:v>
      </ns0:c>
      <ns0:c r="P37" s="32" t="str">
        <ns0:f>'рабочий'!O22</ns0:f>
        <ns0:v>не выбрана</ns0:v>
      </ns0:c>
      <ns0:c r="Q37" s="32" t="str">
        <ns0:f>'рабочий'!P22</ns0:f>
        <ns0:v>не выбрана</ns0:v>
      </ns0:c>
      <ns0:c r="R37" s="32" t="str">
        <ns0:f>'рабочий'!Q22</ns0:f>
        <ns0:v>не выбрана</ns0:v>
      </ns0:c>
      <ns0:c r="S37" s="32" t="str">
        <ns0:f>'рабочий'!R22</ns0:f>
        <ns0:v>не выбрана</ns0:v>
      </ns0:c>
      <ns0:c r="T37" s="32" t="str">
        <ns0:f>'рабочий'!S22</ns0:f>
        <ns0:v>не выбрана</ns0:v>
      </ns0:c>
      <ns0:c r="U37" s="32" t="str">
        <ns0:f>'рабочий'!T22</ns0:f>
        <ns0:v>не выбрана</ns0:v>
      </ns0:c>
      <ns0:c r="V37" s="32" t="str">
        <ns0:f>'рабочий'!U22</ns0:f>
        <ns0:v>не выбрана</ns0:v>
      </ns0:c>
      <ns0:c r="W37" s="32" t="str">
        <ns0:f>'рабочий'!V22</ns0:f>
        <ns0:v>не выбрана</ns0:v>
      </ns0:c>
      <ns0:c r="X37" s="32" t="str">
        <ns0:f>'рабочий'!W22</ns0:f>
        <ns0:v>не выбрана</ns0:v>
      </ns0:c>
      <ns0:c r="Y37" s="32" t="str">
        <ns0:f>'рабочий'!X22</ns0:f>
        <ns0:v>не выбрана</ns0:v>
      </ns0:c>
      <ns0:c r="Z37" s="32" t="str">
        <ns0:f>'рабочий'!Y22</ns0:f>
        <ns0:v>не выбрана</ns0:v>
      </ns0:c>
      <ns0:c r="AA37" s="32" t="str">
        <ns0:f>'рабочий'!Z22</ns0:f>
        <ns0:v>не выбрана</ns0:v>
      </ns0:c>
      <ns0:c r="AB37" s="32" t="str">
        <ns0:f>'рабочий'!AA22</ns0:f>
        <ns0:v>не выбрана</ns0:v>
      </ns0:c>
      <ns0:c r="AC37" s="32" t="str">
        <ns0:f>'рабочий'!AB22</ns0:f>
        <ns0:v>не выбрана</ns0:v>
      </ns0:c>
      <ns0:c r="AD37" s="32" t="str">
        <ns0:f>'рабочий'!AC22</ns0:f>
        <ns0:v>не выбрана</ns0:v>
      </ns0:c>
      <ns0:c r="AE37" s="32" t="str">
        <ns0:f>'рабочий'!AD22</ns0:f>
        <ns0:v>не выбрана</ns0:v>
      </ns0:c>
      <ns0:c r="AF37" s="32" t="str">
        <ns0:f>'рабочий'!AE22</ns0:f>
        <ns0:v>не выбрана</ns0:v>
      </ns0:c>
      <ns0:c r="AG37" s="32" t="str">
        <ns0:f>'рабочий'!AF22</ns0:f>
        <ns0:v>не выбрана</ns0:v>
      </ns0:c>
      <ns0:c r="AH37" s="31" t="n"/>
      <ns0:c r="AI37" s="31" t="inlineStr">
        <ns0:is>
          <ns0:t>не собрано</ns0:t>
        </ns0:is>
      </ns0:c>
      <ns0:c r="AJ37" s="31" t="inlineStr">
        <ns0:is>
          <ns0:t>не собрано</ns0:t>
        </ns0:is>
      </ns0:c>
      <ns0:c r="AK37" s="31" t="inlineStr">
        <ns0:is>
          <ns0:t>не собрано</ns0:t>
        </ns0:is>
      </ns0:c>
      <ns0:c r="AL37" s="31" t="inlineStr">
        <ns0:is>
          <ns0:t>не собрано</ns0:t>
        </ns0:is>
      </ns0:c>
      <ns0:c r="AM37" s="31" t="inlineStr">
        <ns0:is>
          <ns0:t>не собрано</ns0:t>
        </ns0:is>
      </ns0:c>
      <ns0:c r="AN37" s="31" t="inlineStr">
        <ns0:is>
          <ns0:t>не собрано</ns0:t>
        </ns0:is>
      </ns0:c>
      <ns0:c r="AO37" s="31" t="inlineStr">
        <ns0:is>
          <ns0:t>не собрано</ns0:t>
        </ns0:is>
      </ns0:c>
      <ns0:c r="AP37" s="31" t="inlineStr">
        <ns0:is>
          <ns0:t>не собрано</ns0:t>
        </ns0:is>
      </ns0:c>
      <ns0:c r="AQ37" s="31" t="inlineStr">
        <ns0:is>
          <ns0:t>не собрано</ns0:t>
        </ns0:is>
      </ns0:c>
      <ns0:c r="AR37" s="31" t="inlineStr">
        <ns0:is>
          <ns0:t>не собрано</ns0:t>
        </ns0:is>
      </ns0:c>
      <ns0:c r="AS37" s="31" t="inlineStr">
        <ns0:is>
          <ns0:t>не собрано</ns0:t>
        </ns0:is>
      </ns0:c>
      <ns0:c r="AT37" s="31" t="inlineStr">
        <ns0:is>
          <ns0:t>не собрано</ns0:t>
        </ns0:is>
      </ns0:c>
      <ns0:c r="AU37" s="31" t="inlineStr">
        <ns0:is>
          <ns0:t>не собрано</ns0:t>
        </ns0:is>
      </ns0:c>
      <ns0:c r="AV37" s="31" t="inlineStr">
        <ns0:is>
          <ns0:t>не собрано</ns0:t>
        </ns0:is>
      </ns0:c>
      <ns0:c r="AW37" s="31" t="inlineStr">
        <ns0:is>
          <ns0:t>не собрано</ns0:t>
        </ns0:is>
      </ns0:c>
      <ns0:c r="AX37" s="31" t="inlineStr">
        <ns0:is>
          <ns0:t>не собрано</ns0:t>
        </ns0:is>
      </ns0:c>
      <ns0:c r="AY37" s="31" t="inlineStr">
        <ns0:is>
          <ns0:t>не собрано</ns0:t>
        </ns0:is>
      </ns0:c>
      <ns0:c r="AZ37" s="31" t="inlineStr">
        <ns0:is>
          <ns0:t>не собрано</ns0:t>
        </ns0:is>
      </ns0:c>
      <ns0:c r="BA37" s="31" t="inlineStr">
        <ns0:is>
          <ns0:t>не собрано</ns0:t>
        </ns0:is>
      </ns0:c>
      <ns0:c r="BB37" s="31" t="inlineStr">
        <ns0:is>
          <ns0:t>не собрано</ns0:t>
        </ns0:is>
      </ns0:c>
      <ns0:c r="BC37" s="31" t="inlineStr">
        <ns0:is>
          <ns0:t>не собрано</ns0:t>
        </ns0:is>
      </ns0:c>
      <ns0:c r="BD37" s="31" t="inlineStr">
        <ns0:is>
          <ns0:t>не собрано</ns0:t>
        </ns0:is>
      </ns0:c>
      <ns0:c r="BE37" s="31" t="inlineStr">
        <ns0:is>
          <ns0:t>не собрано</ns0:t>
        </ns0:is>
      </ns0:c>
      <ns0:c r="BF37" s="31" t="inlineStr">
        <ns0:is>
          <ns0:t>не собрано</ns0:t>
        </ns0:is>
      </ns0:c>
      <ns0:c r="BG37" s="31" t="inlineStr">
        <ns0:is>
          <ns0:t>не собрано</ns0:t>
        </ns0:is>
      </ns0:c>
      <ns0:c r="BH37" s="31" t="inlineStr">
        <ns0:is>
          <ns0:t>не собрано</ns0:t>
        </ns0:is>
      </ns0:c>
      <ns0:c r="BI37" s="31" t="inlineStr">
        <ns0:is>
          <ns0:t>не собрано</ns0:t>
        </ns0:is>
      </ns0:c>
      <ns0:c r="BJ37" s="31" t="inlineStr">
        <ns0:is>
          <ns0:t>не собрано</ns0:t>
        </ns0:is>
      </ns0:c>
      <ns0:c r="BK37" s="31" t="inlineStr">
        <ns0:is>
          <ns0:t>не собрано</ns0:t>
        </ns0:is>
      </ns0:c>
      <ns0:c r="BL37" s="31" t="inlineStr">
        <ns0:is>
          <ns0:t>не собрано</ns0:t>
        </ns0:is>
      </ns0:c>
    </ns0:row>
    <ns0:row r="38">
      <ns0:c r="A38" s="31" t="n"/>
      <ns0:c r="B38" s="31" t="inlineStr">
        <ns0:is>
          <ns0:t>Терминал</ns0:t>
        </ns0:is>
      </ns0:c>
      <ns0:c r="C38" s="31" t="b">
        <ns0:v>0</ns0:v>
      </ns0:c>
      <ns0:c r="D38" s="31" t="n"/>
      <ns0:c r="E38" s="31" t="str">
        <ns0:f>'рабочий'!D23</ns0:f>
        <ns0:v>не выбрана</ns0:v>
      </ns0:c>
      <ns0:c r="F38" s="31" t="str">
        <ns0:f>'рабочий'!E23</ns0:f>
        <ns0:v>не выбрана</ns0:v>
      </ns0:c>
      <ns0:c r="G38" s="31" t="str">
        <ns0:f>'рабочий'!F23</ns0:f>
        <ns0:v>не выбрана</ns0:v>
      </ns0:c>
      <ns0:c r="H38" s="31" t="str">
        <ns0:f>'рабочий'!G23</ns0:f>
        <ns0:v>не выбрана</ns0:v>
      </ns0:c>
      <ns0:c r="I38" s="31" t="str">
        <ns0:f>'рабочий'!H23</ns0:f>
        <ns0:v>не выбрана</ns0:v>
      </ns0:c>
      <ns0:c r="J38" s="31" t="str">
        <ns0:f>'рабочий'!I23</ns0:f>
        <ns0:v>не выбрана</ns0:v>
      </ns0:c>
      <ns0:c r="K38" s="31" t="str">
        <ns0:f>'рабочий'!J23</ns0:f>
        <ns0:v>не выбрана</ns0:v>
      </ns0:c>
      <ns0:c r="L38" s="31" t="str">
        <ns0:f>'рабочий'!K23</ns0:f>
        <ns0:v>не выбрана</ns0:v>
      </ns0:c>
      <ns0:c r="M38" s="31" t="str">
        <ns0:f>'рабочий'!L23</ns0:f>
        <ns0:v>не выбрана</ns0:v>
      </ns0:c>
      <ns0:c r="N38" s="31" t="str">
        <ns0:f>'рабочий'!M23</ns0:f>
        <ns0:v>не выбрана</ns0:v>
      </ns0:c>
      <ns0:c r="O38" s="32" t="str">
        <ns0:f>'рабочий'!N23</ns0:f>
        <ns0:v>не выбрана</ns0:v>
      </ns0:c>
      <ns0:c r="P38" s="32" t="str">
        <ns0:f>'рабочий'!O23</ns0:f>
        <ns0:v>не выбрана</ns0:v>
      </ns0:c>
      <ns0:c r="Q38" s="32" t="str">
        <ns0:f>'рабочий'!P23</ns0:f>
        <ns0:v>не выбрана</ns0:v>
      </ns0:c>
      <ns0:c r="R38" s="32" t="str">
        <ns0:f>'рабочий'!Q23</ns0:f>
        <ns0:v>не выбрана</ns0:v>
      </ns0:c>
      <ns0:c r="S38" s="32" t="str">
        <ns0:f>'рабочий'!R23</ns0:f>
        <ns0:v>не выбрана</ns0:v>
      </ns0:c>
      <ns0:c r="T38" s="32" t="str">
        <ns0:f>'рабочий'!S23</ns0:f>
        <ns0:v>не выбрана</ns0:v>
      </ns0:c>
      <ns0:c r="U38" s="32" t="str">
        <ns0:f>'рабочий'!T23</ns0:f>
        <ns0:v>не выбрана</ns0:v>
      </ns0:c>
      <ns0:c r="V38" s="32" t="str">
        <ns0:f>'рабочий'!U23</ns0:f>
        <ns0:v>не выбрана</ns0:v>
      </ns0:c>
      <ns0:c r="W38" s="32" t="str">
        <ns0:f>'рабочий'!V23</ns0:f>
        <ns0:v>не выбрана</ns0:v>
      </ns0:c>
      <ns0:c r="X38" s="32" t="str">
        <ns0:f>'рабочий'!W23</ns0:f>
        <ns0:v>не выбрана</ns0:v>
      </ns0:c>
      <ns0:c r="Y38" s="32" t="str">
        <ns0:f>'рабочий'!X23</ns0:f>
        <ns0:v>не выбрана</ns0:v>
      </ns0:c>
      <ns0:c r="Z38" s="32" t="str">
        <ns0:f>'рабочий'!Y23</ns0:f>
        <ns0:v>не выбрана</ns0:v>
      </ns0:c>
      <ns0:c r="AA38" s="32" t="str">
        <ns0:f>'рабочий'!Z23</ns0:f>
        <ns0:v>не выбрана</ns0:v>
      </ns0:c>
      <ns0:c r="AB38" s="32" t="str">
        <ns0:f>'рабочий'!AA23</ns0:f>
        <ns0:v>не выбрана</ns0:v>
      </ns0:c>
      <ns0:c r="AC38" s="32" t="str">
        <ns0:f>'рабочий'!AB23</ns0:f>
        <ns0:v>не выбрана</ns0:v>
      </ns0:c>
      <ns0:c r="AD38" s="32" t="str">
        <ns0:f>'рабочий'!AC23</ns0:f>
        <ns0:v>не выбрана</ns0:v>
      </ns0:c>
      <ns0:c r="AE38" s="32" t="str">
        <ns0:f>'рабочий'!AD23</ns0:f>
        <ns0:v>не выбрана</ns0:v>
      </ns0:c>
      <ns0:c r="AF38" s="32" t="str">
        <ns0:f>'рабочий'!AE23</ns0:f>
        <ns0:v>не выбрана</ns0:v>
      </ns0:c>
      <ns0:c r="AG38" s="32" t="str">
        <ns0:f>'рабочий'!AF23</ns0:f>
        <ns0:v>не выбрана</ns0:v>
      </ns0:c>
      <ns0:c r="AH38" s="31" t="n"/>
      <ns0:c r="AI38" s="31" t="inlineStr">
        <ns0:is>
          <ns0:t>не собрано</ns0:t>
        </ns0:is>
      </ns0:c>
      <ns0:c r="AJ38" s="31" t="inlineStr">
        <ns0:is>
          <ns0:t>не собрано</ns0:t>
        </ns0:is>
      </ns0:c>
      <ns0:c r="AK38" s="31" t="inlineStr">
        <ns0:is>
          <ns0:t>не собрано</ns0:t>
        </ns0:is>
      </ns0:c>
      <ns0:c r="AL38" s="31" t="inlineStr">
        <ns0:is>
          <ns0:t>не собрано</ns0:t>
        </ns0:is>
      </ns0:c>
      <ns0:c r="AM38" s="31" t="inlineStr">
        <ns0:is>
          <ns0:t>не собрано</ns0:t>
        </ns0:is>
      </ns0:c>
      <ns0:c r="AN38" s="31" t="inlineStr">
        <ns0:is>
          <ns0:t>не собрано</ns0:t>
        </ns0:is>
      </ns0:c>
      <ns0:c r="AO38" s="31" t="inlineStr">
        <ns0:is>
          <ns0:t>не собрано</ns0:t>
        </ns0:is>
      </ns0:c>
      <ns0:c r="AP38" s="31" t="inlineStr">
        <ns0:is>
          <ns0:t>не собрано</ns0:t>
        </ns0:is>
      </ns0:c>
      <ns0:c r="AQ38" s="31" t="inlineStr">
        <ns0:is>
          <ns0:t>не собрано</ns0:t>
        </ns0:is>
      </ns0:c>
      <ns0:c r="AR38" s="31" t="inlineStr">
        <ns0:is>
          <ns0:t>не собрано</ns0:t>
        </ns0:is>
      </ns0:c>
      <ns0:c r="AS38" s="31" t="inlineStr">
        <ns0:is>
          <ns0:t>не собрано</ns0:t>
        </ns0:is>
      </ns0:c>
      <ns0:c r="AT38" s="31" t="inlineStr">
        <ns0:is>
          <ns0:t>не собрано</ns0:t>
        </ns0:is>
      </ns0:c>
      <ns0:c r="AU38" s="31" t="inlineStr">
        <ns0:is>
          <ns0:t>не собрано</ns0:t>
        </ns0:is>
      </ns0:c>
      <ns0:c r="AV38" s="31" t="inlineStr">
        <ns0:is>
          <ns0:t>не собрано</ns0:t>
        </ns0:is>
      </ns0:c>
      <ns0:c r="AW38" s="31" t="inlineStr">
        <ns0:is>
          <ns0:t>не собрано</ns0:t>
        </ns0:is>
      </ns0:c>
      <ns0:c r="AX38" s="31" t="inlineStr">
        <ns0:is>
          <ns0:t>не собрано</ns0:t>
        </ns0:is>
      </ns0:c>
      <ns0:c r="AY38" s="31" t="inlineStr">
        <ns0:is>
          <ns0:t>не собрано</ns0:t>
        </ns0:is>
      </ns0:c>
      <ns0:c r="AZ38" s="31" t="inlineStr">
        <ns0:is>
          <ns0:t>не собрано</ns0:t>
        </ns0:is>
      </ns0:c>
      <ns0:c r="BA38" s="31" t="inlineStr">
        <ns0:is>
          <ns0:t>не собрано</ns0:t>
        </ns0:is>
      </ns0:c>
      <ns0:c r="BB38" s="31" t="inlineStr">
        <ns0:is>
          <ns0:t>не собрано</ns0:t>
        </ns0:is>
      </ns0:c>
      <ns0:c r="BC38" s="31" t="inlineStr">
        <ns0:is>
          <ns0:t>не собрано</ns0:t>
        </ns0:is>
      </ns0:c>
      <ns0:c r="BD38" s="31" t="inlineStr">
        <ns0:is>
          <ns0:t>не собрано</ns0:t>
        </ns0:is>
      </ns0:c>
      <ns0:c r="BE38" s="31" t="inlineStr">
        <ns0:is>
          <ns0:t>не собрано</ns0:t>
        </ns0:is>
      </ns0:c>
      <ns0:c r="BF38" s="31" t="inlineStr">
        <ns0:is>
          <ns0:t>не собрано</ns0:t>
        </ns0:is>
      </ns0:c>
      <ns0:c r="BG38" s="31" t="inlineStr">
        <ns0:is>
          <ns0:t>не собрано</ns0:t>
        </ns0:is>
      </ns0:c>
      <ns0:c r="BH38" s="31" t="inlineStr">
        <ns0:is>
          <ns0:t>не собрано</ns0:t>
        </ns0:is>
      </ns0:c>
      <ns0:c r="BI38" s="31" t="inlineStr">
        <ns0:is>
          <ns0:t>не собрано</ns0:t>
        </ns0:is>
      </ns0:c>
      <ns0:c r="BJ38" s="31" t="inlineStr">
        <ns0:is>
          <ns0:t>не собрано</ns0:t>
        </ns0:is>
      </ns0:c>
      <ns0:c r="BK38" s="31" t="inlineStr">
        <ns0:is>
          <ns0:t>не собрано</ns0:t>
        </ns0:is>
      </ns0:c>
      <ns0:c r="BL38" s="31" t="inlineStr">
        <ns0:is>
          <ns0:t>не собрано</ns0:t>
        </ns0:is>
      </ns0:c>
    </ns0:row>
    <ns0:row r="39">
      <ns0:c r="A39" s="31" t="n"/>
      <ns0:c r="B39" s="31" t="inlineStr">
        <ns0:is>
          <ns0:t>Сибтехнотранс</ns0:t>
        </ns0:is>
      </ns0:c>
      <ns0:c r="C39" s="31" t="b">
        <ns0:v>0</ns0:v>
      </ns0:c>
      <ns0:c r="D39" s="31" t="n"/>
      <ns0:c r="E39" s="31" t="str">
        <ns0:f>'рабочий'!D24</ns0:f>
        <ns0:v>не выбрана</ns0:v>
      </ns0:c>
      <ns0:c r="F39" s="31" t="str">
        <ns0:f>'рабочий'!E24</ns0:f>
        <ns0:v>не выбрана</ns0:v>
      </ns0:c>
      <ns0:c r="G39" s="31" t="str">
        <ns0:f>'рабочий'!F24</ns0:f>
        <ns0:v>не выбрана</ns0:v>
      </ns0:c>
      <ns0:c r="H39" s="31" t="str">
        <ns0:f>'рабочий'!G24</ns0:f>
        <ns0:v>не выбрана</ns0:v>
      </ns0:c>
      <ns0:c r="I39" s="31" t="str">
        <ns0:f>'рабочий'!H24</ns0:f>
        <ns0:v>не выбрана</ns0:v>
      </ns0:c>
      <ns0:c r="J39" s="31" t="str">
        <ns0:f>'рабочий'!I24</ns0:f>
        <ns0:v>не выбрана</ns0:v>
      </ns0:c>
      <ns0:c r="K39" s="31" t="str">
        <ns0:f>'рабочий'!J24</ns0:f>
        <ns0:v>не выбрана</ns0:v>
      </ns0:c>
      <ns0:c r="L39" s="31" t="str">
        <ns0:f>'рабочий'!K24</ns0:f>
        <ns0:v>не выбрана</ns0:v>
      </ns0:c>
      <ns0:c r="M39" s="31" t="str">
        <ns0:f>'рабочий'!L24</ns0:f>
        <ns0:v>не выбрана</ns0:v>
      </ns0:c>
      <ns0:c r="N39" s="31" t="str">
        <ns0:f>'рабочий'!M24</ns0:f>
        <ns0:v>не выбрана</ns0:v>
      </ns0:c>
      <ns0:c r="O39" s="32" t="str">
        <ns0:f>'рабочий'!N24</ns0:f>
        <ns0:v>не выбрана</ns0:v>
      </ns0:c>
      <ns0:c r="P39" s="32" t="str">
        <ns0:f>'рабочий'!O24</ns0:f>
        <ns0:v>не выбрана</ns0:v>
      </ns0:c>
      <ns0:c r="Q39" s="32" t="str">
        <ns0:f>'рабочий'!P24</ns0:f>
        <ns0:v>не выбрана</ns0:v>
      </ns0:c>
      <ns0:c r="R39" s="32" t="str">
        <ns0:f>'рабочий'!Q24</ns0:f>
        <ns0:v>не выбрана</ns0:v>
      </ns0:c>
      <ns0:c r="S39" s="32" t="str">
        <ns0:f>'рабочий'!R24</ns0:f>
        <ns0:v>не выбрана</ns0:v>
      </ns0:c>
      <ns0:c r="T39" s="32" t="str">
        <ns0:f>'рабочий'!S24</ns0:f>
        <ns0:v>не выбрана</ns0:v>
      </ns0:c>
      <ns0:c r="U39" s="32" t="str">
        <ns0:f>'рабочий'!T24</ns0:f>
        <ns0:v>не выбрана</ns0:v>
      </ns0:c>
      <ns0:c r="V39" s="32" t="str">
        <ns0:f>'рабочий'!U24</ns0:f>
        <ns0:v>не выбрана</ns0:v>
      </ns0:c>
      <ns0:c r="W39" s="32" t="str">
        <ns0:f>'рабочий'!V24</ns0:f>
        <ns0:v>не выбрана</ns0:v>
      </ns0:c>
      <ns0:c r="X39" s="32" t="str">
        <ns0:f>'рабочий'!W24</ns0:f>
        <ns0:v>не выбрана</ns0:v>
      </ns0:c>
      <ns0:c r="Y39" s="32" t="str">
        <ns0:f>'рабочий'!X24</ns0:f>
        <ns0:v>не выбрана</ns0:v>
      </ns0:c>
      <ns0:c r="Z39" s="32" t="str">
        <ns0:f>'рабочий'!Y24</ns0:f>
        <ns0:v>не выбрана</ns0:v>
      </ns0:c>
      <ns0:c r="AA39" s="32" t="str">
        <ns0:f>'рабочий'!Z24</ns0:f>
        <ns0:v>не выбрана</ns0:v>
      </ns0:c>
      <ns0:c r="AB39" s="32" t="str">
        <ns0:f>'рабочий'!AA24</ns0:f>
        <ns0:v>не выбрана</ns0:v>
      </ns0:c>
      <ns0:c r="AC39" s="32" t="str">
        <ns0:f>'рабочий'!AB24</ns0:f>
        <ns0:v>не выбрана</ns0:v>
      </ns0:c>
      <ns0:c r="AD39" s="32" t="str">
        <ns0:f>'рабочий'!AC24</ns0:f>
        <ns0:v>не выбрана</ns0:v>
      </ns0:c>
      <ns0:c r="AE39" s="32" t="str">
        <ns0:f>'рабочий'!AD24</ns0:f>
        <ns0:v>не выбрана</ns0:v>
      </ns0:c>
      <ns0:c r="AF39" s="32" t="str">
        <ns0:f>'рабочий'!AE24</ns0:f>
        <ns0:v>не выбрана</ns0:v>
      </ns0:c>
      <ns0:c r="AG39" s="32" t="str">
        <ns0:f>'рабочий'!AF24</ns0:f>
        <ns0:v>не выбрана</ns0:v>
      </ns0:c>
      <ns0:c r="AH39" s="31" t="n"/>
      <ns0:c r="AI39" s="31" t="inlineStr">
        <ns0:is>
          <ns0:t>не собрано</ns0:t>
        </ns0:is>
      </ns0:c>
      <ns0:c r="AJ39" s="31" t="inlineStr">
        <ns0:is>
          <ns0:t>не собрано</ns0:t>
        </ns0:is>
      </ns0:c>
      <ns0:c r="AK39" s="31" t="inlineStr">
        <ns0:is>
          <ns0:t>не собрано</ns0:t>
        </ns0:is>
      </ns0:c>
      <ns0:c r="AL39" s="31" t="inlineStr">
        <ns0:is>
          <ns0:t>не собрано</ns0:t>
        </ns0:is>
      </ns0:c>
      <ns0:c r="AM39" s="31" t="inlineStr">
        <ns0:is>
          <ns0:t>не собрано</ns0:t>
        </ns0:is>
      </ns0:c>
      <ns0:c r="AN39" s="31" t="inlineStr">
        <ns0:is>
          <ns0:t>не собрано</ns0:t>
        </ns0:is>
      </ns0:c>
      <ns0:c r="AO39" s="31" t="inlineStr">
        <ns0:is>
          <ns0:t>не собрано</ns0:t>
        </ns0:is>
      </ns0:c>
      <ns0:c r="AP39" s="31" t="inlineStr">
        <ns0:is>
          <ns0:t>не собрано</ns0:t>
        </ns0:is>
      </ns0:c>
      <ns0:c r="AQ39" s="31" t="inlineStr">
        <ns0:is>
          <ns0:t>не собрано</ns0:t>
        </ns0:is>
      </ns0:c>
      <ns0:c r="AR39" s="31" t="inlineStr">
        <ns0:is>
          <ns0:t>не собрано</ns0:t>
        </ns0:is>
      </ns0:c>
      <ns0:c r="AS39" s="31" t="inlineStr">
        <ns0:is>
          <ns0:t>не собрано</ns0:t>
        </ns0:is>
      </ns0:c>
      <ns0:c r="AT39" s="31" t="inlineStr">
        <ns0:is>
          <ns0:t>не собрано</ns0:t>
        </ns0:is>
      </ns0:c>
      <ns0:c r="AU39" s="31" t="inlineStr">
        <ns0:is>
          <ns0:t>не собрано</ns0:t>
        </ns0:is>
      </ns0:c>
      <ns0:c r="AV39" s="31" t="inlineStr">
        <ns0:is>
          <ns0:t>не собрано</ns0:t>
        </ns0:is>
      </ns0:c>
      <ns0:c r="AW39" s="31" t="inlineStr">
        <ns0:is>
          <ns0:t>не собрано</ns0:t>
        </ns0:is>
      </ns0:c>
      <ns0:c r="AX39" s="31" t="inlineStr">
        <ns0:is>
          <ns0:t>не собрано</ns0:t>
        </ns0:is>
      </ns0:c>
      <ns0:c r="AY39" s="31" t="inlineStr">
        <ns0:is>
          <ns0:t>не собрано</ns0:t>
        </ns0:is>
      </ns0:c>
      <ns0:c r="AZ39" s="31" t="inlineStr">
        <ns0:is>
          <ns0:t>не собрано</ns0:t>
        </ns0:is>
      </ns0:c>
      <ns0:c r="BA39" s="31" t="inlineStr">
        <ns0:is>
          <ns0:t>не собрано</ns0:t>
        </ns0:is>
      </ns0:c>
      <ns0:c r="BB39" s="31" t="inlineStr">
        <ns0:is>
          <ns0:t>не собрано</ns0:t>
        </ns0:is>
      </ns0:c>
      <ns0:c r="BC39" s="31" t="inlineStr">
        <ns0:is>
          <ns0:t>не собрано</ns0:t>
        </ns0:is>
      </ns0:c>
      <ns0:c r="BD39" s="31" t="inlineStr">
        <ns0:is>
          <ns0:t>не собрано</ns0:t>
        </ns0:is>
      </ns0:c>
      <ns0:c r="BE39" s="31" t="inlineStr">
        <ns0:is>
          <ns0:t>не собрано</ns0:t>
        </ns0:is>
      </ns0:c>
      <ns0:c r="BF39" s="31" t="inlineStr">
        <ns0:is>
          <ns0:t>не собрано</ns0:t>
        </ns0:is>
      </ns0:c>
      <ns0:c r="BG39" s="31" t="inlineStr">
        <ns0:is>
          <ns0:t>не собрано</ns0:t>
        </ns0:is>
      </ns0:c>
      <ns0:c r="BH39" s="31" t="inlineStr">
        <ns0:is>
          <ns0:t>не собрано</ns0:t>
        </ns0:is>
      </ns0:c>
      <ns0:c r="BI39" s="31" t="inlineStr">
        <ns0:is>
          <ns0:t>не собрано</ns0:t>
        </ns0:is>
      </ns0:c>
      <ns0:c r="BJ39" s="31" t="inlineStr">
        <ns0:is>
          <ns0:t>не собрано</ns0:t>
        </ns0:is>
      </ns0:c>
      <ns0:c r="BK39" s="31" t="inlineStr">
        <ns0:is>
          <ns0:t>не собрано</ns0:t>
        </ns0:is>
      </ns0:c>
      <ns0:c r="BL39" s="31" t="inlineStr">
        <ns0:is>
          <ns0:t>не собрано</ns0:t>
        </ns0:is>
      </ns0:c>
    </ns0:row>
    <ns0:row r="40">
      <ns0:c r="A40" s="31" t="n"/>
      <ns0:c r="B40" s="31" t="inlineStr">
        <ns0:is>
          <ns0:t>ИмперияАвто</ns0:t>
        </ns0:is>
      </ns0:c>
      <ns0:c r="C40" s="31" t="b">
        <ns0:v>0</ns0:v>
      </ns0:c>
      <ns0:c r="D40" s="31" t="n"/>
      <ns0:c r="E40" s="31" t="str">
        <ns0:f>'рабочий'!D25</ns0:f>
        <ns0:v>не выбрана</ns0:v>
      </ns0:c>
      <ns0:c r="F40" s="31" t="str">
        <ns0:f>'рабочий'!E25</ns0:f>
        <ns0:v>не выбрана</ns0:v>
      </ns0:c>
      <ns0:c r="G40" s="31" t="str">
        <ns0:f>'рабочий'!F25</ns0:f>
        <ns0:v>не выбрана</ns0:v>
      </ns0:c>
      <ns0:c r="H40" s="31" t="str">
        <ns0:f>'рабочий'!G25</ns0:f>
        <ns0:v>не выбрана</ns0:v>
      </ns0:c>
      <ns0:c r="I40" s="31" t="str">
        <ns0:f>'рабочий'!H25</ns0:f>
        <ns0:v>не выбрана</ns0:v>
      </ns0:c>
      <ns0:c r="J40" s="31" t="str">
        <ns0:f>'рабочий'!I25</ns0:f>
        <ns0:v>не выбрана</ns0:v>
      </ns0:c>
      <ns0:c r="K40" s="31" t="str">
        <ns0:f>'рабочий'!J25</ns0:f>
        <ns0:v>не выбрана</ns0:v>
      </ns0:c>
      <ns0:c r="L40" s="31" t="str">
        <ns0:f>'рабочий'!K25</ns0:f>
        <ns0:v>не выбрана</ns0:v>
      </ns0:c>
      <ns0:c r="M40" s="31" t="str">
        <ns0:f>'рабочий'!L25</ns0:f>
        <ns0:v>не выбрана</ns0:v>
      </ns0:c>
      <ns0:c r="N40" s="31" t="str">
        <ns0:f>'рабочий'!M25</ns0:f>
        <ns0:v>не выбрана</ns0:v>
      </ns0:c>
      <ns0:c r="O40" s="32" t="str">
        <ns0:f>'рабочий'!N25</ns0:f>
        <ns0:v>не выбрана</ns0:v>
      </ns0:c>
      <ns0:c r="P40" s="32" t="str">
        <ns0:f>'рабочий'!O25</ns0:f>
        <ns0:v>не выбрана</ns0:v>
      </ns0:c>
      <ns0:c r="Q40" s="32" t="str">
        <ns0:f>'рабочий'!P25</ns0:f>
        <ns0:v>не выбрана</ns0:v>
      </ns0:c>
      <ns0:c r="R40" s="32" t="str">
        <ns0:f>'рабочий'!Q25</ns0:f>
        <ns0:v>не выбрана</ns0:v>
      </ns0:c>
      <ns0:c r="S40" s="32" t="str">
        <ns0:f>'рабочий'!R25</ns0:f>
        <ns0:v>не выбрана</ns0:v>
      </ns0:c>
      <ns0:c r="T40" s="32" t="str">
        <ns0:f>'рабочий'!S25</ns0:f>
        <ns0:v>не выбрана</ns0:v>
      </ns0:c>
      <ns0:c r="U40" s="32" t="str">
        <ns0:f>'рабочий'!T25</ns0:f>
        <ns0:v>не выбрана</ns0:v>
      </ns0:c>
      <ns0:c r="V40" s="32" t="str">
        <ns0:f>'рабочий'!U25</ns0:f>
        <ns0:v>не выбрана</ns0:v>
      </ns0:c>
      <ns0:c r="W40" s="32" t="str">
        <ns0:f>'рабочий'!V25</ns0:f>
        <ns0:v>не выбрана</ns0:v>
      </ns0:c>
      <ns0:c r="X40" s="32" t="str">
        <ns0:f>'рабочий'!W25</ns0:f>
        <ns0:v>не выбрана</ns0:v>
      </ns0:c>
      <ns0:c r="Y40" s="32" t="str">
        <ns0:f>'рабочий'!X25</ns0:f>
        <ns0:v>не выбрана</ns0:v>
      </ns0:c>
      <ns0:c r="Z40" s="32" t="str">
        <ns0:f>'рабочий'!Y25</ns0:f>
        <ns0:v>не выбрана</ns0:v>
      </ns0:c>
      <ns0:c r="AA40" s="32" t="str">
        <ns0:f>'рабочий'!Z25</ns0:f>
        <ns0:v>не выбрана</ns0:v>
      </ns0:c>
      <ns0:c r="AB40" s="32" t="str">
        <ns0:f>'рабочий'!AA25</ns0:f>
        <ns0:v>не выбрана</ns0:v>
      </ns0:c>
      <ns0:c r="AC40" s="32" t="str">
        <ns0:f>'рабочий'!AB25</ns0:f>
        <ns0:v>не выбрана</ns0:v>
      </ns0:c>
      <ns0:c r="AD40" s="32" t="str">
        <ns0:f>'рабочий'!AC25</ns0:f>
        <ns0:v>не выбрана</ns0:v>
      </ns0:c>
      <ns0:c r="AE40" s="32" t="str">
        <ns0:f>'рабочий'!AD25</ns0:f>
        <ns0:v>не выбрана</ns0:v>
      </ns0:c>
      <ns0:c r="AF40" s="32" t="str">
        <ns0:f>'рабочий'!AE25</ns0:f>
        <ns0:v>не выбрана</ns0:v>
      </ns0:c>
      <ns0:c r="AG40" s="32" t="str">
        <ns0:f>'рабочий'!AF25</ns0:f>
        <ns0:v>не выбрана</ns0:v>
      </ns0:c>
      <ns0:c r="AH40" s="31" t="n"/>
      <ns0:c r="AI40" s="31" t="inlineStr">
        <ns0:is>
          <ns0:t>не собрано</ns0:t>
        </ns0:is>
      </ns0:c>
      <ns0:c r="AJ40" s="31" t="inlineStr">
        <ns0:is>
          <ns0:t>не собрано</ns0:t>
        </ns0:is>
      </ns0:c>
      <ns0:c r="AK40" s="31" t="inlineStr">
        <ns0:is>
          <ns0:t>не собрано</ns0:t>
        </ns0:is>
      </ns0:c>
      <ns0:c r="AL40" s="31" t="inlineStr">
        <ns0:is>
          <ns0:t>не собрано</ns0:t>
        </ns0:is>
      </ns0:c>
      <ns0:c r="AM40" s="31" t="inlineStr">
        <ns0:is>
          <ns0:t>не собрано</ns0:t>
        </ns0:is>
      </ns0:c>
      <ns0:c r="AN40" s="31" t="inlineStr">
        <ns0:is>
          <ns0:t>не собрано</ns0:t>
        </ns0:is>
      </ns0:c>
      <ns0:c r="AO40" s="31" t="inlineStr">
        <ns0:is>
          <ns0:t>не собрано</ns0:t>
        </ns0:is>
      </ns0:c>
      <ns0:c r="AP40" s="31" t="inlineStr">
        <ns0:is>
          <ns0:t>не собрано</ns0:t>
        </ns0:is>
      </ns0:c>
      <ns0:c r="AQ40" s="31" t="inlineStr">
        <ns0:is>
          <ns0:t>не собрано</ns0:t>
        </ns0:is>
      </ns0:c>
      <ns0:c r="AR40" s="31" t="inlineStr">
        <ns0:is>
          <ns0:t>не собрано</ns0:t>
        </ns0:is>
      </ns0:c>
      <ns0:c r="AS40" s="31" t="inlineStr">
        <ns0:is>
          <ns0:t>не собрано</ns0:t>
        </ns0:is>
      </ns0:c>
      <ns0:c r="AT40" s="31" t="inlineStr">
        <ns0:is>
          <ns0:t>не собрано</ns0:t>
        </ns0:is>
      </ns0:c>
      <ns0:c r="AU40" s="31" t="inlineStr">
        <ns0:is>
          <ns0:t>не собрано</ns0:t>
        </ns0:is>
      </ns0:c>
      <ns0:c r="AV40" s="31" t="inlineStr">
        <ns0:is>
          <ns0:t>не собрано</ns0:t>
        </ns0:is>
      </ns0:c>
      <ns0:c r="AW40" s="31" t="inlineStr">
        <ns0:is>
          <ns0:t>не собрано</ns0:t>
        </ns0:is>
      </ns0:c>
      <ns0:c r="AX40" s="31" t="inlineStr">
        <ns0:is>
          <ns0:t>не собрано</ns0:t>
        </ns0:is>
      </ns0:c>
      <ns0:c r="AY40" s="31" t="inlineStr">
        <ns0:is>
          <ns0:t>не собрано</ns0:t>
        </ns0:is>
      </ns0:c>
      <ns0:c r="AZ40" s="31" t="inlineStr">
        <ns0:is>
          <ns0:t>не собрано</ns0:t>
        </ns0:is>
      </ns0:c>
      <ns0:c r="BA40" s="31" t="inlineStr">
        <ns0:is>
          <ns0:t>не собрано</ns0:t>
        </ns0:is>
      </ns0:c>
      <ns0:c r="BB40" s="31" t="inlineStr">
        <ns0:is>
          <ns0:t>не собрано</ns0:t>
        </ns0:is>
      </ns0:c>
      <ns0:c r="BC40" s="31" t="inlineStr">
        <ns0:is>
          <ns0:t>не собрано</ns0:t>
        </ns0:is>
      </ns0:c>
      <ns0:c r="BD40" s="31" t="inlineStr">
        <ns0:is>
          <ns0:t>не собрано</ns0:t>
        </ns0:is>
      </ns0:c>
      <ns0:c r="BE40" s="31" t="inlineStr">
        <ns0:is>
          <ns0:t>не собрано</ns0:t>
        </ns0:is>
      </ns0:c>
      <ns0:c r="BF40" s="31" t="inlineStr">
        <ns0:is>
          <ns0:t>не собрано</ns0:t>
        </ns0:is>
      </ns0:c>
      <ns0:c r="BG40" s="31" t="inlineStr">
        <ns0:is>
          <ns0:t>не собрано</ns0:t>
        </ns0:is>
      </ns0:c>
      <ns0:c r="BH40" s="31" t="inlineStr">
        <ns0:is>
          <ns0:t>не собрано</ns0:t>
        </ns0:is>
      </ns0:c>
      <ns0:c r="BI40" s="31" t="inlineStr">
        <ns0:is>
          <ns0:t>не собрано</ns0:t>
        </ns0:is>
      </ns0:c>
      <ns0:c r="BJ40" s="31" t="inlineStr">
        <ns0:is>
          <ns0:t>не собрано</ns0:t>
        </ns0:is>
      </ns0:c>
      <ns0:c r="BK40" s="31" t="inlineStr">
        <ns0:is>
          <ns0:t>не собрано</ns0:t>
        </ns0:is>
      </ns0:c>
      <ns0:c r="BL40" s="31" t="inlineStr">
        <ns0:is>
          <ns0:t>не собрано</ns0:t>
        </ns0:is>
      </ns0:c>
    </ns0:row>
    <ns0:row r="41">
      <ns0:c r="A41" s="31" t="n"/>
      <ns0:c r="B41" s="31" t="inlineStr">
        <ns0:is>
          <ns0:t>Магистраль</ns0:t>
        </ns0:is>
      </ns0:c>
      <ns0:c r="C41" s="31" t="b">
        <ns0:v>0</ns0:v>
      </ns0:c>
      <ns0:c r="D41" s="31" t="n"/>
      <ns0:c r="E41" s="31" t="str">
        <ns0:f>'рабочий'!D26</ns0:f>
        <ns0:v>не выбрана</ns0:v>
      </ns0:c>
      <ns0:c r="F41" s="31" t="str">
        <ns0:f>'рабочий'!E26</ns0:f>
        <ns0:v>не выбрана</ns0:v>
      </ns0:c>
      <ns0:c r="G41" s="31" t="str">
        <ns0:f>'рабочий'!F26</ns0:f>
        <ns0:v>не выбрана</ns0:v>
      </ns0:c>
      <ns0:c r="H41" s="31" t="str">
        <ns0:f>'рабочий'!G26</ns0:f>
        <ns0:v>не выбрана</ns0:v>
      </ns0:c>
      <ns0:c r="I41" s="31" t="str">
        <ns0:f>'рабочий'!H26</ns0:f>
        <ns0:v>не выбрана</ns0:v>
      </ns0:c>
      <ns0:c r="J41" s="31" t="str">
        <ns0:f>'рабочий'!I26</ns0:f>
        <ns0:v>не выбрана</ns0:v>
      </ns0:c>
      <ns0:c r="K41" s="31" t="str">
        <ns0:f>'рабочий'!J26</ns0:f>
        <ns0:v>не выбрана</ns0:v>
      </ns0:c>
      <ns0:c r="L41" s="31" t="str">
        <ns0:f>'рабочий'!K26</ns0:f>
        <ns0:v>не выбрана</ns0:v>
      </ns0:c>
      <ns0:c r="M41" s="31" t="str">
        <ns0:f>'рабочий'!L26</ns0:f>
        <ns0:v>не выбрана</ns0:v>
      </ns0:c>
      <ns0:c r="N41" s="31" t="str">
        <ns0:f>'рабочий'!M26</ns0:f>
        <ns0:v>не выбрана</ns0:v>
      </ns0:c>
      <ns0:c r="O41" s="32" t="str">
        <ns0:f>'рабочий'!N26</ns0:f>
        <ns0:v>не выбрана</ns0:v>
      </ns0:c>
      <ns0:c r="P41" s="32" t="str">
        <ns0:f>'рабочий'!O26</ns0:f>
        <ns0:v>не выбрана</ns0:v>
      </ns0:c>
      <ns0:c r="Q41" s="32" t="str">
        <ns0:f>'рабочий'!P26</ns0:f>
        <ns0:v>не выбрана</ns0:v>
      </ns0:c>
      <ns0:c r="R41" s="32" t="str">
        <ns0:f>'рабочий'!Q26</ns0:f>
        <ns0:v>не выбрана</ns0:v>
      </ns0:c>
      <ns0:c r="S41" s="32" t="str">
        <ns0:f>'рабочий'!R26</ns0:f>
        <ns0:v>не выбрана</ns0:v>
      </ns0:c>
      <ns0:c r="T41" s="32" t="str">
        <ns0:f>'рабочий'!S26</ns0:f>
        <ns0:v>не выбрана</ns0:v>
      </ns0:c>
      <ns0:c r="U41" s="32" t="str">
        <ns0:f>'рабочий'!T26</ns0:f>
        <ns0:v>не выбрана</ns0:v>
      </ns0:c>
      <ns0:c r="V41" s="32" t="str">
        <ns0:f>'рабочий'!U26</ns0:f>
        <ns0:v>не выбрана</ns0:v>
      </ns0:c>
      <ns0:c r="W41" s="32" t="str">
        <ns0:f>'рабочий'!V26</ns0:f>
        <ns0:v>не выбрана</ns0:v>
      </ns0:c>
      <ns0:c r="X41" s="32" t="str">
        <ns0:f>'рабочий'!W26</ns0:f>
        <ns0:v>не выбрана</ns0:v>
      </ns0:c>
      <ns0:c r="Y41" s="32" t="str">
        <ns0:f>'рабочий'!X26</ns0:f>
        <ns0:v>не выбрана</ns0:v>
      </ns0:c>
      <ns0:c r="Z41" s="32" t="str">
        <ns0:f>'рабочий'!Y26</ns0:f>
        <ns0:v>не выбрана</ns0:v>
      </ns0:c>
      <ns0:c r="AA41" s="32" t="str">
        <ns0:f>'рабочий'!Z26</ns0:f>
        <ns0:v>не выбрана</ns0:v>
      </ns0:c>
      <ns0:c r="AB41" s="32" t="str">
        <ns0:f>'рабочий'!AA26</ns0:f>
        <ns0:v>не выбрана</ns0:v>
      </ns0:c>
      <ns0:c r="AC41" s="32" t="str">
        <ns0:f>'рабочий'!AB26</ns0:f>
        <ns0:v>не выбрана</ns0:v>
      </ns0:c>
      <ns0:c r="AD41" s="32" t="str">
        <ns0:f>'рабочий'!AC26</ns0:f>
        <ns0:v>не выбрана</ns0:v>
      </ns0:c>
      <ns0:c r="AE41" s="32" t="str">
        <ns0:f>'рабочий'!AD26</ns0:f>
        <ns0:v>не выбрана</ns0:v>
      </ns0:c>
      <ns0:c r="AF41" s="32" t="str">
        <ns0:f>'рабочий'!AE26</ns0:f>
        <ns0:v>не выбрана</ns0:v>
      </ns0:c>
      <ns0:c r="AG41" s="32" t="str">
        <ns0:f>'рабочий'!AF26</ns0:f>
        <ns0:v>не выбрана</ns0:v>
      </ns0:c>
      <ns0:c r="AH41" s="31" t="n"/>
      <ns0:c r="AI41" s="31" t="inlineStr">
        <ns0:is>
          <ns0:t>не собрано</ns0:t>
        </ns0:is>
      </ns0:c>
      <ns0:c r="AJ41" s="31" t="inlineStr">
        <ns0:is>
          <ns0:t>не собрано</ns0:t>
        </ns0:is>
      </ns0:c>
      <ns0:c r="AK41" s="31" t="inlineStr">
        <ns0:is>
          <ns0:t>не собрано</ns0:t>
        </ns0:is>
      </ns0:c>
      <ns0:c r="AL41" s="31" t="inlineStr">
        <ns0:is>
          <ns0:t>не собрано</ns0:t>
        </ns0:is>
      </ns0:c>
      <ns0:c r="AM41" s="31" t="inlineStr">
        <ns0:is>
          <ns0:t>не собрано</ns0:t>
        </ns0:is>
      </ns0:c>
      <ns0:c r="AN41" s="31" t="inlineStr">
        <ns0:is>
          <ns0:t>не собрано</ns0:t>
        </ns0:is>
      </ns0:c>
      <ns0:c r="AO41" s="31" t="inlineStr">
        <ns0:is>
          <ns0:t>не собрано</ns0:t>
        </ns0:is>
      </ns0:c>
      <ns0:c r="AP41" s="31" t="inlineStr">
        <ns0:is>
          <ns0:t>не собрано</ns0:t>
        </ns0:is>
      </ns0:c>
      <ns0:c r="AQ41" s="31" t="inlineStr">
        <ns0:is>
          <ns0:t>не собрано</ns0:t>
        </ns0:is>
      </ns0:c>
      <ns0:c r="AR41" s="31" t="inlineStr">
        <ns0:is>
          <ns0:t>не собрано</ns0:t>
        </ns0:is>
      </ns0:c>
      <ns0:c r="AS41" s="31" t="inlineStr">
        <ns0:is>
          <ns0:t>не собрано</ns0:t>
        </ns0:is>
      </ns0:c>
      <ns0:c r="AT41" s="31" t="inlineStr">
        <ns0:is>
          <ns0:t>не собрано</ns0:t>
        </ns0:is>
      </ns0:c>
      <ns0:c r="AU41" s="31" t="inlineStr">
        <ns0:is>
          <ns0:t>не собрано</ns0:t>
        </ns0:is>
      </ns0:c>
      <ns0:c r="AV41" s="31" t="inlineStr">
        <ns0:is>
          <ns0:t>не собрано</ns0:t>
        </ns0:is>
      </ns0:c>
      <ns0:c r="AW41" s="31" t="inlineStr">
        <ns0:is>
          <ns0:t>не собрано</ns0:t>
        </ns0:is>
      </ns0:c>
      <ns0:c r="AX41" s="31" t="inlineStr">
        <ns0:is>
          <ns0:t>не собрано</ns0:t>
        </ns0:is>
      </ns0:c>
      <ns0:c r="AY41" s="31" t="inlineStr">
        <ns0:is>
          <ns0:t>не собрано</ns0:t>
        </ns0:is>
      </ns0:c>
      <ns0:c r="AZ41" s="31" t="inlineStr">
        <ns0:is>
          <ns0:t>не собрано</ns0:t>
        </ns0:is>
      </ns0:c>
      <ns0:c r="BA41" s="31" t="inlineStr">
        <ns0:is>
          <ns0:t>не собрано</ns0:t>
        </ns0:is>
      </ns0:c>
      <ns0:c r="BB41" s="31" t="inlineStr">
        <ns0:is>
          <ns0:t>не собрано</ns0:t>
        </ns0:is>
      </ns0:c>
      <ns0:c r="BC41" s="31" t="inlineStr">
        <ns0:is>
          <ns0:t>не собрано</ns0:t>
        </ns0:is>
      </ns0:c>
      <ns0:c r="BD41" s="31" t="inlineStr">
        <ns0:is>
          <ns0:t>не собрано</ns0:t>
        </ns0:is>
      </ns0:c>
      <ns0:c r="BE41" s="31" t="inlineStr">
        <ns0:is>
          <ns0:t>не собрано</ns0:t>
        </ns0:is>
      </ns0:c>
      <ns0:c r="BF41" s="31" t="inlineStr">
        <ns0:is>
          <ns0:t>не собрано</ns0:t>
        </ns0:is>
      </ns0:c>
      <ns0:c r="BG41" s="31" t="inlineStr">
        <ns0:is>
          <ns0:t>не собрано</ns0:t>
        </ns0:is>
      </ns0:c>
      <ns0:c r="BH41" s="31" t="inlineStr">
        <ns0:is>
          <ns0:t>не собрано</ns0:t>
        </ns0:is>
      </ns0:c>
      <ns0:c r="BI41" s="31" t="inlineStr">
        <ns0:is>
          <ns0:t>не собрано</ns0:t>
        </ns0:is>
      </ns0:c>
      <ns0:c r="BJ41" s="31" t="inlineStr">
        <ns0:is>
          <ns0:t>не собрано</ns0:t>
        </ns0:is>
      </ns0:c>
      <ns0:c r="BK41" s="31" t="inlineStr">
        <ns0:is>
          <ns0:t>не собрано</ns0:t>
        </ns0:is>
      </ns0:c>
      <ns0:c r="BL41" s="31" t="inlineStr">
        <ns0:is>
          <ns0:t>не собрано</ns0:t>
        </ns0:is>
      </ns0:c>
    </ns0:row>
    <ns0:row r="42">
      <ns0:c r="A42" s="31" t="n"/>
      <ns0:c r="B42" s="31" t="inlineStr">
        <ns0:is>
          <ns0:t>Транзит</ns0:t>
        </ns0:is>
      </ns0:c>
      <ns0:c r="C42" s="31" t="b">
        <ns0:v>0</ns0:v>
      </ns0:c>
      <ns0:c r="D42" s="31" t="n"/>
      <ns0:c r="E42" s="31" t="str">
        <ns0:f>'рабочий'!D27</ns0:f>
        <ns0:v>не выбрана</ns0:v>
      </ns0:c>
      <ns0:c r="F42" s="31" t="str">
        <ns0:f>'рабочий'!E27</ns0:f>
        <ns0:v>не выбрана</ns0:v>
      </ns0:c>
      <ns0:c r="G42" s="31" t="str">
        <ns0:f>'рабочий'!F27</ns0:f>
        <ns0:v>не выбрана</ns0:v>
      </ns0:c>
      <ns0:c r="H42" s="31" t="str">
        <ns0:f>'рабочий'!G27</ns0:f>
        <ns0:v>не выбрана</ns0:v>
      </ns0:c>
      <ns0:c r="I42" s="31" t="str">
        <ns0:f>'рабочий'!H27</ns0:f>
        <ns0:v>не выбрана</ns0:v>
      </ns0:c>
      <ns0:c r="J42" s="31" t="str">
        <ns0:f>'рабочий'!I27</ns0:f>
        <ns0:v>не выбрана</ns0:v>
      </ns0:c>
      <ns0:c r="K42" s="31" t="str">
        <ns0:f>'рабочий'!J27</ns0:f>
        <ns0:v>не выбрана</ns0:v>
      </ns0:c>
      <ns0:c r="L42" s="31" t="str">
        <ns0:f>'рабочий'!K27</ns0:f>
        <ns0:v>не выбрана</ns0:v>
      </ns0:c>
      <ns0:c r="M42" s="31" t="str">
        <ns0:f>'рабочий'!L27</ns0:f>
        <ns0:v>не выбрана</ns0:v>
      </ns0:c>
      <ns0:c r="N42" s="31" t="str">
        <ns0:f>'рабочий'!M27</ns0:f>
        <ns0:v>не выбрана</ns0:v>
      </ns0:c>
      <ns0:c r="O42" s="32" t="str">
        <ns0:f>'рабочий'!N27</ns0:f>
        <ns0:v>не выбрана</ns0:v>
      </ns0:c>
      <ns0:c r="P42" s="32" t="str">
        <ns0:f>'рабочий'!O27</ns0:f>
        <ns0:v>не выбрана</ns0:v>
      </ns0:c>
      <ns0:c r="Q42" s="32" t="str">
        <ns0:f>'рабочий'!P27</ns0:f>
        <ns0:v>не выбрана</ns0:v>
      </ns0:c>
      <ns0:c r="R42" s="32" t="str">
        <ns0:f>'рабочий'!Q27</ns0:f>
        <ns0:v>не выбрана</ns0:v>
      </ns0:c>
      <ns0:c r="S42" s="32" t="str">
        <ns0:f>'рабочий'!R27</ns0:f>
        <ns0:v>не выбрана</ns0:v>
      </ns0:c>
      <ns0:c r="T42" s="32" t="str">
        <ns0:f>'рабочий'!S27</ns0:f>
        <ns0:v>не выбрана</ns0:v>
      </ns0:c>
      <ns0:c r="U42" s="32" t="str">
        <ns0:f>'рабочий'!T27</ns0:f>
        <ns0:v>не выбрана</ns0:v>
      </ns0:c>
      <ns0:c r="V42" s="32" t="str">
        <ns0:f>'рабочий'!U27</ns0:f>
        <ns0:v>не выбрана</ns0:v>
      </ns0:c>
      <ns0:c r="W42" s="32" t="str">
        <ns0:f>'рабочий'!V27</ns0:f>
        <ns0:v>не выбрана</ns0:v>
      </ns0:c>
      <ns0:c r="X42" s="32" t="str">
        <ns0:f>'рабочий'!W27</ns0:f>
        <ns0:v>не выбрана</ns0:v>
      </ns0:c>
      <ns0:c r="Y42" s="32" t="str">
        <ns0:f>'рабочий'!X27</ns0:f>
        <ns0:v>не выбрана</ns0:v>
      </ns0:c>
      <ns0:c r="Z42" s="32" t="str">
        <ns0:f>'рабочий'!Y27</ns0:f>
        <ns0:v>не выбрана</ns0:v>
      </ns0:c>
      <ns0:c r="AA42" s="32" t="str">
        <ns0:f>'рабочий'!Z27</ns0:f>
        <ns0:v>не выбрана</ns0:v>
      </ns0:c>
      <ns0:c r="AB42" s="32" t="str">
        <ns0:f>'рабочий'!AA27</ns0:f>
        <ns0:v>не выбрана</ns0:v>
      </ns0:c>
      <ns0:c r="AC42" s="32" t="str">
        <ns0:f>'рабочий'!AB27</ns0:f>
        <ns0:v>не выбрана</ns0:v>
      </ns0:c>
      <ns0:c r="AD42" s="32" t="str">
        <ns0:f>'рабочий'!AC27</ns0:f>
        <ns0:v>не выбрана</ns0:v>
      </ns0:c>
      <ns0:c r="AE42" s="32" t="str">
        <ns0:f>'рабочий'!AD27</ns0:f>
        <ns0:v>не выбрана</ns0:v>
      </ns0:c>
      <ns0:c r="AF42" s="32" t="str">
        <ns0:f>'рабочий'!AE27</ns0:f>
        <ns0:v>не выбрана</ns0:v>
      </ns0:c>
      <ns0:c r="AG42" s="32" t="str">
        <ns0:f>'рабочий'!AF27</ns0:f>
        <ns0:v>не выбрана</ns0:v>
      </ns0:c>
      <ns0:c r="AH42" s="31" t="n"/>
      <ns0:c r="AI42" s="31" t="inlineStr">
        <ns0:is>
          <ns0:t>не собрано</ns0:t>
        </ns0:is>
      </ns0:c>
      <ns0:c r="AJ42" s="31" t="inlineStr">
        <ns0:is>
          <ns0:t>не собрано</ns0:t>
        </ns0:is>
      </ns0:c>
      <ns0:c r="AK42" s="31" t="inlineStr">
        <ns0:is>
          <ns0:t>не собрано</ns0:t>
        </ns0:is>
      </ns0:c>
      <ns0:c r="AL42" s="31" t="inlineStr">
        <ns0:is>
          <ns0:t>не собрано</ns0:t>
        </ns0:is>
      </ns0:c>
      <ns0:c r="AM42" s="31" t="inlineStr">
        <ns0:is>
          <ns0:t>не собрано</ns0:t>
        </ns0:is>
      </ns0:c>
      <ns0:c r="AN42" s="31" t="inlineStr">
        <ns0:is>
          <ns0:t>не собрано</ns0:t>
        </ns0:is>
      </ns0:c>
      <ns0:c r="AO42" s="31" t="inlineStr">
        <ns0:is>
          <ns0:t>не собрано</ns0:t>
        </ns0:is>
      </ns0:c>
      <ns0:c r="AP42" s="31" t="inlineStr">
        <ns0:is>
          <ns0:t>не собрано</ns0:t>
        </ns0:is>
      </ns0:c>
      <ns0:c r="AQ42" s="31" t="inlineStr">
        <ns0:is>
          <ns0:t>не собрано</ns0:t>
        </ns0:is>
      </ns0:c>
      <ns0:c r="AR42" s="31" t="inlineStr">
        <ns0:is>
          <ns0:t>не собрано</ns0:t>
        </ns0:is>
      </ns0:c>
      <ns0:c r="AS42" s="31" t="inlineStr">
        <ns0:is>
          <ns0:t>не собрано</ns0:t>
        </ns0:is>
      </ns0:c>
      <ns0:c r="AT42" s="31" t="inlineStr">
        <ns0:is>
          <ns0:t>не собрано</ns0:t>
        </ns0:is>
      </ns0:c>
      <ns0:c r="AU42" s="31" t="inlineStr">
        <ns0:is>
          <ns0:t>не собрано</ns0:t>
        </ns0:is>
      </ns0:c>
      <ns0:c r="AV42" s="31" t="inlineStr">
        <ns0:is>
          <ns0:t>не собрано</ns0:t>
        </ns0:is>
      </ns0:c>
      <ns0:c r="AW42" s="31" t="inlineStr">
        <ns0:is>
          <ns0:t>не собрано</ns0:t>
        </ns0:is>
      </ns0:c>
      <ns0:c r="AX42" s="31" t="inlineStr">
        <ns0:is>
          <ns0:t>не собрано</ns0:t>
        </ns0:is>
      </ns0:c>
      <ns0:c r="AY42" s="31" t="inlineStr">
        <ns0:is>
          <ns0:t>не собрано</ns0:t>
        </ns0:is>
      </ns0:c>
      <ns0:c r="AZ42" s="31" t="inlineStr">
        <ns0:is>
          <ns0:t>не собрано</ns0:t>
        </ns0:is>
      </ns0:c>
      <ns0:c r="BA42" s="31" t="inlineStr">
        <ns0:is>
          <ns0:t>не собрано</ns0:t>
        </ns0:is>
      </ns0:c>
      <ns0:c r="BB42" s="31" t="inlineStr">
        <ns0:is>
          <ns0:t>не собрано</ns0:t>
        </ns0:is>
      </ns0:c>
      <ns0:c r="BC42" s="31" t="inlineStr">
        <ns0:is>
          <ns0:t>не собрано</ns0:t>
        </ns0:is>
      </ns0:c>
      <ns0:c r="BD42" s="31" t="inlineStr">
        <ns0:is>
          <ns0:t>не собрано</ns0:t>
        </ns0:is>
      </ns0:c>
      <ns0:c r="BE42" s="31" t="inlineStr">
        <ns0:is>
          <ns0:t>не собрано</ns0:t>
        </ns0:is>
      </ns0:c>
      <ns0:c r="BF42" s="31" t="inlineStr">
        <ns0:is>
          <ns0:t>не собрано</ns0:t>
        </ns0:is>
      </ns0:c>
      <ns0:c r="BG42" s="31" t="inlineStr">
        <ns0:is>
          <ns0:t>не собрано</ns0:t>
        </ns0:is>
      </ns0:c>
      <ns0:c r="BH42" s="31" t="inlineStr">
        <ns0:is>
          <ns0:t>не собрано</ns0:t>
        </ns0:is>
      </ns0:c>
      <ns0:c r="BI42" s="31" t="inlineStr">
        <ns0:is>
          <ns0:t>не собрано</ns0:t>
        </ns0:is>
      </ns0:c>
      <ns0:c r="BJ42" s="31" t="inlineStr">
        <ns0:is>
          <ns0:t>не собрано</ns0:t>
        </ns0:is>
      </ns0:c>
      <ns0:c r="BK42" s="31" t="inlineStr">
        <ns0:is>
          <ns0:t>не собрано</ns0:t>
        </ns0:is>
      </ns0:c>
      <ns0:c r="BL42" s="31" t="inlineStr">
        <ns0:is>
          <ns0:t>не собрано</ns0:t>
        </ns0:is>
      </ns0:c>
    </ns0:row>
    <ns0:row r="43">
      <ns0:c r="A43" s="31" t="n"/>
      <ns0:c r="B43" s="31" t="inlineStr">
        <ns0:is>
          <ns0:t>АРТК</ns0:t>
        </ns0:is>
      </ns0:c>
      <ns0:c r="C43" s="31" t="b">
        <ns0:v>0</ns0:v>
      </ns0:c>
      <ns0:c r="D43" s="31" t="n"/>
      <ns0:c r="E43" s="31" t="str">
        <ns0:f>'рабочий'!D28</ns0:f>
        <ns0:v>не выбрана</ns0:v>
      </ns0:c>
      <ns0:c r="F43" s="31" t="str">
        <ns0:f>'рабочий'!E28</ns0:f>
        <ns0:v>не выбрана</ns0:v>
      </ns0:c>
      <ns0:c r="G43" s="31" t="str">
        <ns0:f>'рабочий'!F28</ns0:f>
        <ns0:v>не выбрана</ns0:v>
      </ns0:c>
      <ns0:c r="H43" s="31" t="str">
        <ns0:f>'рабочий'!G28</ns0:f>
        <ns0:v>не выбрана</ns0:v>
      </ns0:c>
      <ns0:c r="I43" s="31" t="str">
        <ns0:f>'рабочий'!H28</ns0:f>
        <ns0:v>не выбрана</ns0:v>
      </ns0:c>
      <ns0:c r="J43" s="31" t="str">
        <ns0:f>'рабочий'!I28</ns0:f>
        <ns0:v>не выбрана</ns0:v>
      </ns0:c>
      <ns0:c r="K43" s="31" t="str">
        <ns0:f>'рабочий'!J28</ns0:f>
        <ns0:v>не выбрана</ns0:v>
      </ns0:c>
      <ns0:c r="L43" s="31" t="str">
        <ns0:f>'рабочий'!K28</ns0:f>
        <ns0:v>не выбрана</ns0:v>
      </ns0:c>
      <ns0:c r="M43" s="31" t="str">
        <ns0:f>'рабочий'!L28</ns0:f>
        <ns0:v>не выбрана</ns0:v>
      </ns0:c>
      <ns0:c r="N43" s="31" t="str">
        <ns0:f>'рабочий'!M28</ns0:f>
        <ns0:v>не выбрана</ns0:v>
      </ns0:c>
      <ns0:c r="O43" s="32" t="str">
        <ns0:f>'рабочий'!N28</ns0:f>
        <ns0:v>не выбрана</ns0:v>
      </ns0:c>
      <ns0:c r="P43" s="32" t="str">
        <ns0:f>'рабочий'!O28</ns0:f>
        <ns0:v>не выбрана</ns0:v>
      </ns0:c>
      <ns0:c r="Q43" s="32" t="str">
        <ns0:f>'рабочий'!P28</ns0:f>
        <ns0:v>не выбрана</ns0:v>
      </ns0:c>
      <ns0:c r="R43" s="32" t="str">
        <ns0:f>'рабочий'!Q28</ns0:f>
        <ns0:v>не выбрана</ns0:v>
      </ns0:c>
      <ns0:c r="S43" s="32" t="str">
        <ns0:f>'рабочий'!R28</ns0:f>
        <ns0:v>не выбрана</ns0:v>
      </ns0:c>
      <ns0:c r="T43" s="32" t="str">
        <ns0:f>'рабочий'!S28</ns0:f>
        <ns0:v>не выбрана</ns0:v>
      </ns0:c>
      <ns0:c r="U43" s="32" t="str">
        <ns0:f>'рабочий'!T28</ns0:f>
        <ns0:v>не выбрана</ns0:v>
      </ns0:c>
      <ns0:c r="V43" s="32" t="str">
        <ns0:f>'рабочий'!U28</ns0:f>
        <ns0:v>не выбрана</ns0:v>
      </ns0:c>
      <ns0:c r="W43" s="32" t="str">
        <ns0:f>'рабочий'!V28</ns0:f>
        <ns0:v>не выбрана</ns0:v>
      </ns0:c>
      <ns0:c r="X43" s="32" t="str">
        <ns0:f>'рабочий'!W28</ns0:f>
        <ns0:v>не выбрана</ns0:v>
      </ns0:c>
      <ns0:c r="Y43" s="32" t="str">
        <ns0:f>'рабочий'!X28</ns0:f>
        <ns0:v>не выбрана</ns0:v>
      </ns0:c>
      <ns0:c r="Z43" s="32" t="str">
        <ns0:f>'рабочий'!Y28</ns0:f>
        <ns0:v>не выбрана</ns0:v>
      </ns0:c>
      <ns0:c r="AA43" s="32" t="str">
        <ns0:f>'рабочий'!Z28</ns0:f>
        <ns0:v>не выбрана</ns0:v>
      </ns0:c>
      <ns0:c r="AB43" s="32" t="str">
        <ns0:f>'рабочий'!AA28</ns0:f>
        <ns0:v>не выбрана</ns0:v>
      </ns0:c>
      <ns0:c r="AC43" s="32" t="str">
        <ns0:f>'рабочий'!AB28</ns0:f>
        <ns0:v>не выбрана</ns0:v>
      </ns0:c>
      <ns0:c r="AD43" s="32" t="str">
        <ns0:f>'рабочий'!AC28</ns0:f>
        <ns0:v>не выбрана</ns0:v>
      </ns0:c>
      <ns0:c r="AE43" s="32" t="str">
        <ns0:f>'рабочий'!AD28</ns0:f>
        <ns0:v>не выбрана</ns0:v>
      </ns0:c>
      <ns0:c r="AF43" s="32" t="str">
        <ns0:f>'рабочий'!AE28</ns0:f>
        <ns0:v>не выбрана</ns0:v>
      </ns0:c>
      <ns0:c r="AG43" s="32" t="str">
        <ns0:f>'рабочий'!AF28</ns0:f>
        <ns0:v>не выбрана</ns0:v>
      </ns0:c>
      <ns0:c r="AH43" s="31" t="n"/>
      <ns0:c r="AI43" s="31" t="inlineStr">
        <ns0:is>
          <ns0:t>не собрано</ns0:t>
        </ns0:is>
      </ns0:c>
      <ns0:c r="AJ43" s="31" t="inlineStr">
        <ns0:is>
          <ns0:t>не собрано</ns0:t>
        </ns0:is>
      </ns0:c>
      <ns0:c r="AK43" s="31" t="inlineStr">
        <ns0:is>
          <ns0:t>не собрано</ns0:t>
        </ns0:is>
      </ns0:c>
      <ns0:c r="AL43" s="31" t="inlineStr">
        <ns0:is>
          <ns0:t>не собрано</ns0:t>
        </ns0:is>
      </ns0:c>
      <ns0:c r="AM43" s="31" t="inlineStr">
        <ns0:is>
          <ns0:t>не собрано</ns0:t>
        </ns0:is>
      </ns0:c>
      <ns0:c r="AN43" s="31" t="inlineStr">
        <ns0:is>
          <ns0:t>не собрано</ns0:t>
        </ns0:is>
      </ns0:c>
      <ns0:c r="AO43" s="31" t="inlineStr">
        <ns0:is>
          <ns0:t>не собрано</ns0:t>
        </ns0:is>
      </ns0:c>
      <ns0:c r="AP43" s="31" t="inlineStr">
        <ns0:is>
          <ns0:t>не собрано</ns0:t>
        </ns0:is>
      </ns0:c>
      <ns0:c r="AQ43" s="31" t="inlineStr">
        <ns0:is>
          <ns0:t>не собрано</ns0:t>
        </ns0:is>
      </ns0:c>
      <ns0:c r="AR43" s="31" t="inlineStr">
        <ns0:is>
          <ns0:t>не собрано</ns0:t>
        </ns0:is>
      </ns0:c>
      <ns0:c r="AS43" s="31" t="inlineStr">
        <ns0:is>
          <ns0:t>не собрано</ns0:t>
        </ns0:is>
      </ns0:c>
      <ns0:c r="AT43" s="31" t="inlineStr">
        <ns0:is>
          <ns0:t>не собрано</ns0:t>
        </ns0:is>
      </ns0:c>
      <ns0:c r="AU43" s="31" t="inlineStr">
        <ns0:is>
          <ns0:t>не собрано</ns0:t>
        </ns0:is>
      </ns0:c>
      <ns0:c r="AV43" s="31" t="inlineStr">
        <ns0:is>
          <ns0:t>не собрано</ns0:t>
        </ns0:is>
      </ns0:c>
      <ns0:c r="AW43" s="31" t="inlineStr">
        <ns0:is>
          <ns0:t>не собрано</ns0:t>
        </ns0:is>
      </ns0:c>
      <ns0:c r="AX43" s="31" t="inlineStr">
        <ns0:is>
          <ns0:t>не собрано</ns0:t>
        </ns0:is>
      </ns0:c>
      <ns0:c r="AY43" s="31" t="inlineStr">
        <ns0:is>
          <ns0:t>не собрано</ns0:t>
        </ns0:is>
      </ns0:c>
      <ns0:c r="AZ43" s="31" t="inlineStr">
        <ns0:is>
          <ns0:t>не собрано</ns0:t>
        </ns0:is>
      </ns0:c>
      <ns0:c r="BA43" s="31" t="inlineStr">
        <ns0:is>
          <ns0:t>не собрано</ns0:t>
        </ns0:is>
      </ns0:c>
      <ns0:c r="BB43" s="31" t="inlineStr">
        <ns0:is>
          <ns0:t>не собрано</ns0:t>
        </ns0:is>
      </ns0:c>
      <ns0:c r="BC43" s="31" t="inlineStr">
        <ns0:is>
          <ns0:t>не собрано</ns0:t>
        </ns0:is>
      </ns0:c>
      <ns0:c r="BD43" s="31" t="inlineStr">
        <ns0:is>
          <ns0:t>не собрано</ns0:t>
        </ns0:is>
      </ns0:c>
      <ns0:c r="BE43" s="31" t="inlineStr">
        <ns0:is>
          <ns0:t>не собрано</ns0:t>
        </ns0:is>
      </ns0:c>
      <ns0:c r="BF43" s="31" t="inlineStr">
        <ns0:is>
          <ns0:t>не собрано</ns0:t>
        </ns0:is>
      </ns0:c>
      <ns0:c r="BG43" s="31" t="inlineStr">
        <ns0:is>
          <ns0:t>не собрано</ns0:t>
        </ns0:is>
      </ns0:c>
      <ns0:c r="BH43" s="31" t="inlineStr">
        <ns0:is>
          <ns0:t>не собрано</ns0:t>
        </ns0:is>
      </ns0:c>
      <ns0:c r="BI43" s="31" t="inlineStr">
        <ns0:is>
          <ns0:t>не собрано</ns0:t>
        </ns0:is>
      </ns0:c>
      <ns0:c r="BJ43" s="31" t="inlineStr">
        <ns0:is>
          <ns0:t>не собрано</ns0:t>
        </ns0:is>
      </ns0:c>
      <ns0:c r="BK43" s="31" t="inlineStr">
        <ns0:is>
          <ns0:t>не собрано</ns0:t>
        </ns0:is>
      </ns0:c>
      <ns0:c r="BL43" s="31" t="inlineStr">
        <ns0:is>
          <ns0:t>не собрано</ns0:t>
        </ns0:is>
      </ns0:c>
    </ns0:row>
    <ns0:row r="44">
      <ns0:c r="A44" s="31" t="n"/>
      <ns0:c r="B44" s="31" t="inlineStr">
        <ns0:is>
          <ns0:t>Аскор</ns0:t>
        </ns0:is>
      </ns0:c>
      <ns0:c r="C44" s="31" t="b">
        <ns0:v>0</ns0:v>
      </ns0:c>
      <ns0:c r="D44" s="31" t="n"/>
      <ns0:c r="E44" s="31" t="str">
        <ns0:f>'рабочий'!D29</ns0:f>
        <ns0:v>не выбрана</ns0:v>
      </ns0:c>
      <ns0:c r="F44" s="31" t="str">
        <ns0:f>'рабочий'!E29</ns0:f>
        <ns0:v>не выбрана</ns0:v>
      </ns0:c>
      <ns0:c r="G44" s="31" t="str">
        <ns0:f>'рабочий'!F29</ns0:f>
        <ns0:v>не выбрана</ns0:v>
      </ns0:c>
      <ns0:c r="H44" s="31" t="str">
        <ns0:f>'рабочий'!G29</ns0:f>
        <ns0:v>не выбрана</ns0:v>
      </ns0:c>
      <ns0:c r="I44" s="31" t="str">
        <ns0:f>'рабочий'!H29</ns0:f>
        <ns0:v>не выбрана</ns0:v>
      </ns0:c>
      <ns0:c r="J44" s="31" t="str">
        <ns0:f>'рабочий'!I29</ns0:f>
        <ns0:v>не выбрана</ns0:v>
      </ns0:c>
      <ns0:c r="K44" s="31" t="str">
        <ns0:f>'рабочий'!J29</ns0:f>
        <ns0:v>не выбрана</ns0:v>
      </ns0:c>
      <ns0:c r="L44" s="31" t="str">
        <ns0:f>'рабочий'!K29</ns0:f>
        <ns0:v>не выбрана</ns0:v>
      </ns0:c>
      <ns0:c r="M44" s="31" t="str">
        <ns0:f>'рабочий'!L29</ns0:f>
        <ns0:v>не выбрана</ns0:v>
      </ns0:c>
      <ns0:c r="N44" s="31" t="str">
        <ns0:f>'рабочий'!M29</ns0:f>
        <ns0:v>не выбрана</ns0:v>
      </ns0:c>
      <ns0:c r="O44" s="32" t="str">
        <ns0:f>'рабочий'!N29</ns0:f>
        <ns0:v>не выбрана</ns0:v>
      </ns0:c>
      <ns0:c r="P44" s="32" t="str">
        <ns0:f>'рабочий'!O29</ns0:f>
        <ns0:v>не выбрана</ns0:v>
      </ns0:c>
      <ns0:c r="Q44" s="32" t="str">
        <ns0:f>'рабочий'!P29</ns0:f>
        <ns0:v>не выбрана</ns0:v>
      </ns0:c>
      <ns0:c r="R44" s="32" t="str">
        <ns0:f>'рабочий'!Q29</ns0:f>
        <ns0:v>не выбрана</ns0:v>
      </ns0:c>
      <ns0:c r="S44" s="32" t="str">
        <ns0:f>'рабочий'!R29</ns0:f>
        <ns0:v>не выбрана</ns0:v>
      </ns0:c>
      <ns0:c r="T44" s="32" t="str">
        <ns0:f>'рабочий'!S29</ns0:f>
        <ns0:v>не выбрана</ns0:v>
      </ns0:c>
      <ns0:c r="U44" s="32" t="str">
        <ns0:f>'рабочий'!T29</ns0:f>
        <ns0:v>не выбрана</ns0:v>
      </ns0:c>
      <ns0:c r="V44" s="32" t="str">
        <ns0:f>'рабочий'!U29</ns0:f>
        <ns0:v>не выбрана</ns0:v>
      </ns0:c>
      <ns0:c r="W44" s="32" t="str">
        <ns0:f>'рабочий'!V29</ns0:f>
        <ns0:v>не выбрана</ns0:v>
      </ns0:c>
      <ns0:c r="X44" s="32" t="str">
        <ns0:f>'рабочий'!W29</ns0:f>
        <ns0:v>не выбрана</ns0:v>
      </ns0:c>
      <ns0:c r="Y44" s="32" t="str">
        <ns0:f>'рабочий'!X29</ns0:f>
        <ns0:v>не выбрана</ns0:v>
      </ns0:c>
      <ns0:c r="Z44" s="32" t="str">
        <ns0:f>'рабочий'!Y29</ns0:f>
        <ns0:v>не выбрана</ns0:v>
      </ns0:c>
      <ns0:c r="AA44" s="32" t="str">
        <ns0:f>'рабочий'!Z29</ns0:f>
        <ns0:v>не выбрана</ns0:v>
      </ns0:c>
      <ns0:c r="AB44" s="32" t="str">
        <ns0:f>'рабочий'!AA29</ns0:f>
        <ns0:v>не выбрана</ns0:v>
      </ns0:c>
      <ns0:c r="AC44" s="32" t="str">
        <ns0:f>'рабочий'!AB29</ns0:f>
        <ns0:v>не выбрана</ns0:v>
      </ns0:c>
      <ns0:c r="AD44" s="32" t="str">
        <ns0:f>'рабочий'!AC29</ns0:f>
        <ns0:v>не выбрана</ns0:v>
      </ns0:c>
      <ns0:c r="AE44" s="32" t="str">
        <ns0:f>'рабочий'!AD29</ns0:f>
        <ns0:v>не выбрана</ns0:v>
      </ns0:c>
      <ns0:c r="AF44" s="32" t="str">
        <ns0:f>'рабочий'!AE29</ns0:f>
        <ns0:v>не выбрана</ns0:v>
      </ns0:c>
      <ns0:c r="AG44" s="32" t="str">
        <ns0:f>'рабочий'!AF29</ns0:f>
        <ns0:v>не выбрана</ns0:v>
      </ns0:c>
      <ns0:c r="AH44" s="31" t="n"/>
      <ns0:c r="AI44" s="31" t="inlineStr">
        <ns0:is>
          <ns0:t>не собрано</ns0:t>
        </ns0:is>
      </ns0:c>
      <ns0:c r="AJ44" s="31" t="inlineStr">
        <ns0:is>
          <ns0:t>не собрано</ns0:t>
        </ns0:is>
      </ns0:c>
      <ns0:c r="AK44" s="31" t="inlineStr">
        <ns0:is>
          <ns0:t>не собрано</ns0:t>
        </ns0:is>
      </ns0:c>
      <ns0:c r="AL44" s="31" t="inlineStr">
        <ns0:is>
          <ns0:t>не собрано</ns0:t>
        </ns0:is>
      </ns0:c>
      <ns0:c r="AM44" s="31" t="inlineStr">
        <ns0:is>
          <ns0:t>не собрано</ns0:t>
        </ns0:is>
      </ns0:c>
      <ns0:c r="AN44" s="31" t="inlineStr">
        <ns0:is>
          <ns0:t>не собрано</ns0:t>
        </ns0:is>
      </ns0:c>
      <ns0:c r="AO44" s="31" t="inlineStr">
        <ns0:is>
          <ns0:t>не собрано</ns0:t>
        </ns0:is>
      </ns0:c>
      <ns0:c r="AP44" s="31" t="inlineStr">
        <ns0:is>
          <ns0:t>не собрано</ns0:t>
        </ns0:is>
      </ns0:c>
      <ns0:c r="AQ44" s="31" t="inlineStr">
        <ns0:is>
          <ns0:t>не собрано</ns0:t>
        </ns0:is>
      </ns0:c>
      <ns0:c r="AR44" s="31" t="inlineStr">
        <ns0:is>
          <ns0:t>не собрано</ns0:t>
        </ns0:is>
      </ns0:c>
      <ns0:c r="AS44" s="31" t="inlineStr">
        <ns0:is>
          <ns0:t>не собрано</ns0:t>
        </ns0:is>
      </ns0:c>
      <ns0:c r="AT44" s="31" t="inlineStr">
        <ns0:is>
          <ns0:t>не собрано</ns0:t>
        </ns0:is>
      </ns0:c>
      <ns0:c r="AU44" s="31" t="inlineStr">
        <ns0:is>
          <ns0:t>не собрано</ns0:t>
        </ns0:is>
      </ns0:c>
      <ns0:c r="AV44" s="31" t="inlineStr">
        <ns0:is>
          <ns0:t>не собрано</ns0:t>
        </ns0:is>
      </ns0:c>
      <ns0:c r="AW44" s="31" t="inlineStr">
        <ns0:is>
          <ns0:t>не собрано</ns0:t>
        </ns0:is>
      </ns0:c>
      <ns0:c r="AX44" s="31" t="inlineStr">
        <ns0:is>
          <ns0:t>не собрано</ns0:t>
        </ns0:is>
      </ns0:c>
      <ns0:c r="AY44" s="31" t="inlineStr">
        <ns0:is>
          <ns0:t>не собрано</ns0:t>
        </ns0:is>
      </ns0:c>
      <ns0:c r="AZ44" s="31" t="inlineStr">
        <ns0:is>
          <ns0:t>не собрано</ns0:t>
        </ns0:is>
      </ns0:c>
      <ns0:c r="BA44" s="31" t="inlineStr">
        <ns0:is>
          <ns0:t>не собрано</ns0:t>
        </ns0:is>
      </ns0:c>
      <ns0:c r="BB44" s="31" t="inlineStr">
        <ns0:is>
          <ns0:t>не собрано</ns0:t>
        </ns0:is>
      </ns0:c>
      <ns0:c r="BC44" s="31" t="inlineStr">
        <ns0:is>
          <ns0:t>не собрано</ns0:t>
        </ns0:is>
      </ns0:c>
      <ns0:c r="BD44" s="31" t="inlineStr">
        <ns0:is>
          <ns0:t>не собрано</ns0:t>
        </ns0:is>
      </ns0:c>
      <ns0:c r="BE44" s="31" t="inlineStr">
        <ns0:is>
          <ns0:t>не собрано</ns0:t>
        </ns0:is>
      </ns0:c>
      <ns0:c r="BF44" s="31" t="inlineStr">
        <ns0:is>
          <ns0:t>не собрано</ns0:t>
        </ns0:is>
      </ns0:c>
      <ns0:c r="BG44" s="31" t="inlineStr">
        <ns0:is>
          <ns0:t>не собрано</ns0:t>
        </ns0:is>
      </ns0:c>
      <ns0:c r="BH44" s="31" t="inlineStr">
        <ns0:is>
          <ns0:t>не собрано</ns0:t>
        </ns0:is>
      </ns0:c>
      <ns0:c r="BI44" s="31" t="inlineStr">
        <ns0:is>
          <ns0:t>не собрано</ns0:t>
        </ns0:is>
      </ns0:c>
      <ns0:c r="BJ44" s="31" t="inlineStr">
        <ns0:is>
          <ns0:t>не собрано</ns0:t>
        </ns0:is>
      </ns0:c>
      <ns0:c r="BK44" s="31" t="inlineStr">
        <ns0:is>
          <ns0:t>не собрано</ns0:t>
        </ns0:is>
      </ns0:c>
      <ns0:c r="BL44" s="31" t="inlineStr">
        <ns0:is>
          <ns0:t>не собрано</ns0:t>
        </ns0:is>
      </ns0:c>
    </ns0:row>
    <ns0:row r="45">
      <ns0:c r="A45" s="31" t="n"/>
      <ns0:c r="B45" s="31" t="inlineStr">
        <ns0:is>
          <ns0:t>КараванКарго</ns0:t>
        </ns0:is>
      </ns0:c>
      <ns0:c r="C45" s="31" t="b">
        <ns0:v>0</ns0:v>
      </ns0:c>
      <ns0:c r="D45" s="31" t="n"/>
      <ns0:c r="E45" s="31" t="str">
        <ns0:f>'рабочий'!D30</ns0:f>
        <ns0:v>не выбрана</ns0:v>
      </ns0:c>
      <ns0:c r="F45" s="31" t="str">
        <ns0:f>'рабочий'!E30</ns0:f>
        <ns0:v>не выбрана</ns0:v>
      </ns0:c>
      <ns0:c r="G45" s="31" t="str">
        <ns0:f>'рабочий'!F30</ns0:f>
        <ns0:v>не выбрана</ns0:v>
      </ns0:c>
      <ns0:c r="H45" s="31" t="str">
        <ns0:f>'рабочий'!G30</ns0:f>
        <ns0:v>не выбрана</ns0:v>
      </ns0:c>
      <ns0:c r="I45" s="31" t="str">
        <ns0:f>'рабочий'!H30</ns0:f>
        <ns0:v>не выбрана</ns0:v>
      </ns0:c>
      <ns0:c r="J45" s="31" t="str">
        <ns0:f>'рабочий'!I30</ns0:f>
        <ns0:v>не выбрана</ns0:v>
      </ns0:c>
      <ns0:c r="K45" s="31" t="str">
        <ns0:f>'рабочий'!J30</ns0:f>
        <ns0:v>не выбрана</ns0:v>
      </ns0:c>
      <ns0:c r="L45" s="31" t="str">
        <ns0:f>'рабочий'!K30</ns0:f>
        <ns0:v>не выбрана</ns0:v>
      </ns0:c>
      <ns0:c r="M45" s="31" t="str">
        <ns0:f>'рабочий'!L30</ns0:f>
        <ns0:v>не выбрана</ns0:v>
      </ns0:c>
      <ns0:c r="N45" s="31" t="str">
        <ns0:f>'рабочий'!M30</ns0:f>
        <ns0:v>не выбрана</ns0:v>
      </ns0:c>
      <ns0:c r="O45" s="32" t="str">
        <ns0:f>'рабочий'!N30</ns0:f>
        <ns0:v>не выбрана</ns0:v>
      </ns0:c>
      <ns0:c r="P45" s="32" t="str">
        <ns0:f>'рабочий'!O30</ns0:f>
        <ns0:v>не выбрана</ns0:v>
      </ns0:c>
      <ns0:c r="Q45" s="32" t="str">
        <ns0:f>'рабочий'!P30</ns0:f>
        <ns0:v>не выбрана</ns0:v>
      </ns0:c>
      <ns0:c r="R45" s="32" t="str">
        <ns0:f>'рабочий'!Q30</ns0:f>
        <ns0:v>не выбрана</ns0:v>
      </ns0:c>
      <ns0:c r="S45" s="32" t="str">
        <ns0:f>'рабочий'!R30</ns0:f>
        <ns0:v>не выбрана</ns0:v>
      </ns0:c>
      <ns0:c r="T45" s="32" t="str">
        <ns0:f>'рабочий'!S30</ns0:f>
        <ns0:v>не выбрана</ns0:v>
      </ns0:c>
      <ns0:c r="U45" s="32" t="str">
        <ns0:f>'рабочий'!T30</ns0:f>
        <ns0:v>не выбрана</ns0:v>
      </ns0:c>
      <ns0:c r="V45" s="32" t="str">
        <ns0:f>'рабочий'!U30</ns0:f>
        <ns0:v>не выбрана</ns0:v>
      </ns0:c>
      <ns0:c r="W45" s="32" t="str">
        <ns0:f>'рабочий'!V30</ns0:f>
        <ns0:v>не выбрана</ns0:v>
      </ns0:c>
      <ns0:c r="X45" s="32" t="str">
        <ns0:f>'рабочий'!W30</ns0:f>
        <ns0:v>не выбрана</ns0:v>
      </ns0:c>
      <ns0:c r="Y45" s="32" t="str">
        <ns0:f>'рабочий'!X30</ns0:f>
        <ns0:v>не выбрана</ns0:v>
      </ns0:c>
      <ns0:c r="Z45" s="32" t="str">
        <ns0:f>'рабочий'!Y30</ns0:f>
        <ns0:v>не выбрана</ns0:v>
      </ns0:c>
      <ns0:c r="AA45" s="32" t="str">
        <ns0:f>'рабочий'!Z30</ns0:f>
        <ns0:v>не выбрана</ns0:v>
      </ns0:c>
      <ns0:c r="AB45" s="32" t="str">
        <ns0:f>'рабочий'!AA30</ns0:f>
        <ns0:v>не выбрана</ns0:v>
      </ns0:c>
      <ns0:c r="AC45" s="32" t="str">
        <ns0:f>'рабочий'!AB30</ns0:f>
        <ns0:v>не выбрана</ns0:v>
      </ns0:c>
      <ns0:c r="AD45" s="32" t="str">
        <ns0:f>'рабочий'!AC30</ns0:f>
        <ns0:v>не выбрана</ns0:v>
      </ns0:c>
      <ns0:c r="AE45" s="32" t="str">
        <ns0:f>'рабочий'!AD30</ns0:f>
        <ns0:v>не выбрана</ns0:v>
      </ns0:c>
      <ns0:c r="AF45" s="32" t="str">
        <ns0:f>'рабочий'!AE30</ns0:f>
        <ns0:v>не выбрана</ns0:v>
      </ns0:c>
      <ns0:c r="AG45" s="32" t="str">
        <ns0:f>'рабочий'!AF30</ns0:f>
        <ns0:v>не выбрана</ns0:v>
      </ns0:c>
      <ns0:c r="AH45" s="31" t="n"/>
      <ns0:c r="AI45" s="31" t="inlineStr">
        <ns0:is>
          <ns0:t>не собрано</ns0:t>
        </ns0:is>
      </ns0:c>
      <ns0:c r="AJ45" s="31" t="inlineStr">
        <ns0:is>
          <ns0:t>не собрано</ns0:t>
        </ns0:is>
      </ns0:c>
      <ns0:c r="AK45" s="31" t="inlineStr">
        <ns0:is>
          <ns0:t>не собрано</ns0:t>
        </ns0:is>
      </ns0:c>
      <ns0:c r="AL45" s="31" t="inlineStr">
        <ns0:is>
          <ns0:t>не собрано</ns0:t>
        </ns0:is>
      </ns0:c>
      <ns0:c r="AM45" s="31" t="inlineStr">
        <ns0:is>
          <ns0:t>не собрано</ns0:t>
        </ns0:is>
      </ns0:c>
      <ns0:c r="AN45" s="31" t="inlineStr">
        <ns0:is>
          <ns0:t>не собрано</ns0:t>
        </ns0:is>
      </ns0:c>
      <ns0:c r="AO45" s="31" t="inlineStr">
        <ns0:is>
          <ns0:t>не собрано</ns0:t>
        </ns0:is>
      </ns0:c>
      <ns0:c r="AP45" s="31" t="inlineStr">
        <ns0:is>
          <ns0:t>не собрано</ns0:t>
        </ns0:is>
      </ns0:c>
      <ns0:c r="AQ45" s="31" t="inlineStr">
        <ns0:is>
          <ns0:t>не собрано</ns0:t>
        </ns0:is>
      </ns0:c>
      <ns0:c r="AR45" s="31" t="inlineStr">
        <ns0:is>
          <ns0:t>не собрано</ns0:t>
        </ns0:is>
      </ns0:c>
      <ns0:c r="AS45" s="31" t="inlineStr">
        <ns0:is>
          <ns0:t>не собрано</ns0:t>
        </ns0:is>
      </ns0:c>
      <ns0:c r="AT45" s="31" t="inlineStr">
        <ns0:is>
          <ns0:t>не собрано</ns0:t>
        </ns0:is>
      </ns0:c>
      <ns0:c r="AU45" s="31" t="inlineStr">
        <ns0:is>
          <ns0:t>не собрано</ns0:t>
        </ns0:is>
      </ns0:c>
      <ns0:c r="AV45" s="31" t="inlineStr">
        <ns0:is>
          <ns0:t>не собрано</ns0:t>
        </ns0:is>
      </ns0:c>
      <ns0:c r="AW45" s="31" t="inlineStr">
        <ns0:is>
          <ns0:t>не собрано</ns0:t>
        </ns0:is>
      </ns0:c>
      <ns0:c r="AX45" s="31" t="inlineStr">
        <ns0:is>
          <ns0:t>не собрано</ns0:t>
        </ns0:is>
      </ns0:c>
      <ns0:c r="AY45" s="31" t="inlineStr">
        <ns0:is>
          <ns0:t>не собрано</ns0:t>
        </ns0:is>
      </ns0:c>
      <ns0:c r="AZ45" s="31" t="inlineStr">
        <ns0:is>
          <ns0:t>не собрано</ns0:t>
        </ns0:is>
      </ns0:c>
      <ns0:c r="BA45" s="31" t="inlineStr">
        <ns0:is>
          <ns0:t>не собрано</ns0:t>
        </ns0:is>
      </ns0:c>
      <ns0:c r="BB45" s="31" t="inlineStr">
        <ns0:is>
          <ns0:t>не собрано</ns0:t>
        </ns0:is>
      </ns0:c>
      <ns0:c r="BC45" s="31" t="inlineStr">
        <ns0:is>
          <ns0:t>не собрано</ns0:t>
        </ns0:is>
      </ns0:c>
      <ns0:c r="BD45" s="31" t="inlineStr">
        <ns0:is>
          <ns0:t>не собрано</ns0:t>
        </ns0:is>
      </ns0:c>
      <ns0:c r="BE45" s="31" t="inlineStr">
        <ns0:is>
          <ns0:t>не собрано</ns0:t>
        </ns0:is>
      </ns0:c>
      <ns0:c r="BF45" s="31" t="inlineStr">
        <ns0:is>
          <ns0:t>не собрано</ns0:t>
        </ns0:is>
      </ns0:c>
      <ns0:c r="BG45" s="31" t="inlineStr">
        <ns0:is>
          <ns0:t>не собрано</ns0:t>
        </ns0:is>
      </ns0:c>
      <ns0:c r="BH45" s="31" t="inlineStr">
        <ns0:is>
          <ns0:t>не собрано</ns0:t>
        </ns0:is>
      </ns0:c>
      <ns0:c r="BI45" s="31" t="inlineStr">
        <ns0:is>
          <ns0:t>не собрано</ns0:t>
        </ns0:is>
      </ns0:c>
      <ns0:c r="BJ45" s="31" t="inlineStr">
        <ns0:is>
          <ns0:t>не собрано</ns0:t>
        </ns0:is>
      </ns0:c>
      <ns0:c r="BK45" s="31" t="inlineStr">
        <ns0:is>
          <ns0:t>не собрано</ns0:t>
        </ns0:is>
      </ns0:c>
      <ns0:c r="BL45" s="31" t="inlineStr">
        <ns0:is>
          <ns0:t>не собрано</ns0:t>
        </ns0:is>
      </ns0:c>
    </ns0:row>
    <ns0:row r="46">
      <ns0:c r="A46" s="31" t="n"/>
      <ns0:c r="B46" s="31" t="inlineStr">
        <ns0:is>
          <ns0:t>СолнечныйМагадан</ns0:t>
        </ns0:is>
      </ns0:c>
      <ns0:c r="C46" s="31" t="b">
        <ns0:v>0</ns0:v>
      </ns0:c>
      <ns0:c r="D46" s="31" t="n"/>
      <ns0:c r="E46" s="31" t="str">
        <ns0:f>'рабочий'!D31</ns0:f>
        <ns0:v>не выбрана</ns0:v>
      </ns0:c>
      <ns0:c r="F46" s="31" t="str">
        <ns0:f>'рабочий'!E31</ns0:f>
        <ns0:v>не выбрана</ns0:v>
      </ns0:c>
      <ns0:c r="G46" s="31" t="str">
        <ns0:f>'рабочий'!F31</ns0:f>
        <ns0:v>не выбрана</ns0:v>
      </ns0:c>
      <ns0:c r="H46" s="31" t="str">
        <ns0:f>'рабочий'!G31</ns0:f>
        <ns0:v>не выбрана</ns0:v>
      </ns0:c>
      <ns0:c r="I46" s="31" t="str">
        <ns0:f>'рабочий'!H31</ns0:f>
        <ns0:v>не выбрана</ns0:v>
      </ns0:c>
      <ns0:c r="J46" s="31" t="str">
        <ns0:f>'рабочий'!I31</ns0:f>
        <ns0:v>не выбрана</ns0:v>
      </ns0:c>
      <ns0:c r="K46" s="31" t="str">
        <ns0:f>'рабочий'!J31</ns0:f>
        <ns0:v>не выбрана</ns0:v>
      </ns0:c>
      <ns0:c r="L46" s="31" t="str">
        <ns0:f>'рабочий'!K31</ns0:f>
        <ns0:v>не выбрана</ns0:v>
      </ns0:c>
      <ns0:c r="M46" s="31" t="str">
        <ns0:f>'рабочий'!L31</ns0:f>
        <ns0:v>не выбрана</ns0:v>
      </ns0:c>
      <ns0:c r="N46" s="31" t="str">
        <ns0:f>'рабочий'!M31</ns0:f>
        <ns0:v>не выбрана</ns0:v>
      </ns0:c>
      <ns0:c r="O46" s="32" t="str">
        <ns0:f>'рабочий'!N31</ns0:f>
        <ns0:v>не выбрана</ns0:v>
      </ns0:c>
      <ns0:c r="P46" s="32" t="str">
        <ns0:f>'рабочий'!O31</ns0:f>
        <ns0:v>не выбрана</ns0:v>
      </ns0:c>
      <ns0:c r="Q46" s="32" t="str">
        <ns0:f>'рабочий'!P31</ns0:f>
        <ns0:v>не выбрана</ns0:v>
      </ns0:c>
      <ns0:c r="R46" s="32" t="str">
        <ns0:f>'рабочий'!Q31</ns0:f>
        <ns0:v>не выбрана</ns0:v>
      </ns0:c>
      <ns0:c r="S46" s="32" t="str">
        <ns0:f>'рабочий'!R31</ns0:f>
        <ns0:v>не выбрана</ns0:v>
      </ns0:c>
      <ns0:c r="T46" s="32" t="str">
        <ns0:f>'рабочий'!S31</ns0:f>
        <ns0:v>не выбрана</ns0:v>
      </ns0:c>
      <ns0:c r="U46" s="32" t="str">
        <ns0:f>'рабочий'!T31</ns0:f>
        <ns0:v>не выбрана</ns0:v>
      </ns0:c>
      <ns0:c r="V46" s="32" t="str">
        <ns0:f>'рабочий'!U31</ns0:f>
        <ns0:v>не выбрана</ns0:v>
      </ns0:c>
      <ns0:c r="W46" s="32" t="str">
        <ns0:f>'рабочий'!V31</ns0:f>
        <ns0:v>не выбрана</ns0:v>
      </ns0:c>
      <ns0:c r="X46" s="32" t="str">
        <ns0:f>'рабочий'!W31</ns0:f>
        <ns0:v>не выбрана</ns0:v>
      </ns0:c>
      <ns0:c r="Y46" s="32" t="str">
        <ns0:f>'рабочий'!X31</ns0:f>
        <ns0:v>не выбрана</ns0:v>
      </ns0:c>
      <ns0:c r="Z46" s="32" t="str">
        <ns0:f>'рабочий'!Y31</ns0:f>
        <ns0:v>не выбрана</ns0:v>
      </ns0:c>
      <ns0:c r="AA46" s="32" t="str">
        <ns0:f>'рабочий'!Z31</ns0:f>
        <ns0:v>не выбрана</ns0:v>
      </ns0:c>
      <ns0:c r="AB46" s="32" t="str">
        <ns0:f>'рабочий'!AA31</ns0:f>
        <ns0:v>не выбрана</ns0:v>
      </ns0:c>
      <ns0:c r="AC46" s="32" t="str">
        <ns0:f>'рабочий'!AB31</ns0:f>
        <ns0:v>не выбрана</ns0:v>
      </ns0:c>
      <ns0:c r="AD46" s="32" t="str">
        <ns0:f>'рабочий'!AC31</ns0:f>
        <ns0:v>не выбрана</ns0:v>
      </ns0:c>
      <ns0:c r="AE46" s="32" t="str">
        <ns0:f>'рабочий'!AD31</ns0:f>
        <ns0:v>не выбрана</ns0:v>
      </ns0:c>
      <ns0:c r="AF46" s="32" t="str">
        <ns0:f>'рабочий'!AE31</ns0:f>
        <ns0:v>не выбрана</ns0:v>
      </ns0:c>
      <ns0:c r="AG46" s="32" t="str">
        <ns0:f>'рабочий'!AF31</ns0:f>
        <ns0:v>не выбрана</ns0:v>
      </ns0:c>
      <ns0:c r="AH46" s="31" t="n"/>
      <ns0:c r="AI46" s="31" t="inlineStr">
        <ns0:is>
          <ns0:t>не собрано</ns0:t>
        </ns0:is>
      </ns0:c>
      <ns0:c r="AJ46" s="31" t="inlineStr">
        <ns0:is>
          <ns0:t>не собрано</ns0:t>
        </ns0:is>
      </ns0:c>
      <ns0:c r="AK46" s="31" t="inlineStr">
        <ns0:is>
          <ns0:t>не собрано</ns0:t>
        </ns0:is>
      </ns0:c>
      <ns0:c r="AL46" s="31" t="inlineStr">
        <ns0:is>
          <ns0:t>не собрано</ns0:t>
        </ns0:is>
      </ns0:c>
      <ns0:c r="AM46" s="31" t="inlineStr">
        <ns0:is>
          <ns0:t>не собрано</ns0:t>
        </ns0:is>
      </ns0:c>
      <ns0:c r="AN46" s="31" t="inlineStr">
        <ns0:is>
          <ns0:t>не собрано</ns0:t>
        </ns0:is>
      </ns0:c>
      <ns0:c r="AO46" s="31" t="inlineStr">
        <ns0:is>
          <ns0:t>не собрано</ns0:t>
        </ns0:is>
      </ns0:c>
      <ns0:c r="AP46" s="31" t="inlineStr">
        <ns0:is>
          <ns0:t>не собрано</ns0:t>
        </ns0:is>
      </ns0:c>
      <ns0:c r="AQ46" s="31" t="inlineStr">
        <ns0:is>
          <ns0:t>не собрано</ns0:t>
        </ns0:is>
      </ns0:c>
      <ns0:c r="AR46" s="31" t="inlineStr">
        <ns0:is>
          <ns0:t>не собрано</ns0:t>
        </ns0:is>
      </ns0:c>
      <ns0:c r="AS46" s="31" t="inlineStr">
        <ns0:is>
          <ns0:t>не собрано</ns0:t>
        </ns0:is>
      </ns0:c>
      <ns0:c r="AT46" s="31" t="inlineStr">
        <ns0:is>
          <ns0:t>не собрано</ns0:t>
        </ns0:is>
      </ns0:c>
      <ns0:c r="AU46" s="31" t="inlineStr">
        <ns0:is>
          <ns0:t>не собрано</ns0:t>
        </ns0:is>
      </ns0:c>
      <ns0:c r="AV46" s="31" t="inlineStr">
        <ns0:is>
          <ns0:t>не собрано</ns0:t>
        </ns0:is>
      </ns0:c>
      <ns0:c r="AW46" s="31" t="inlineStr">
        <ns0:is>
          <ns0:t>не собрано</ns0:t>
        </ns0:is>
      </ns0:c>
      <ns0:c r="AX46" s="31" t="inlineStr">
        <ns0:is>
          <ns0:t>не собрано</ns0:t>
        </ns0:is>
      </ns0:c>
      <ns0:c r="AY46" s="31" t="inlineStr">
        <ns0:is>
          <ns0:t>не собрано</ns0:t>
        </ns0:is>
      </ns0:c>
      <ns0:c r="AZ46" s="31" t="inlineStr">
        <ns0:is>
          <ns0:t>не собрано</ns0:t>
        </ns0:is>
      </ns0:c>
      <ns0:c r="BA46" s="31" t="inlineStr">
        <ns0:is>
          <ns0:t>не собрано</ns0:t>
        </ns0:is>
      </ns0:c>
      <ns0:c r="BB46" s="31" t="inlineStr">
        <ns0:is>
          <ns0:t>не собрано</ns0:t>
        </ns0:is>
      </ns0:c>
      <ns0:c r="BC46" s="31" t="inlineStr">
        <ns0:is>
          <ns0:t>не собрано</ns0:t>
        </ns0:is>
      </ns0:c>
      <ns0:c r="BD46" s="31" t="inlineStr">
        <ns0:is>
          <ns0:t>не собрано</ns0:t>
        </ns0:is>
      </ns0:c>
      <ns0:c r="BE46" s="31" t="inlineStr">
        <ns0:is>
          <ns0:t>не собрано</ns0:t>
        </ns0:is>
      </ns0:c>
      <ns0:c r="BF46" s="31" t="inlineStr">
        <ns0:is>
          <ns0:t>не собрано</ns0:t>
        </ns0:is>
      </ns0:c>
      <ns0:c r="BG46" s="31" t="inlineStr">
        <ns0:is>
          <ns0:t>не собрано</ns0:t>
        </ns0:is>
      </ns0:c>
      <ns0:c r="BH46" s="31" t="inlineStr">
        <ns0:is>
          <ns0:t>не собрано</ns0:t>
        </ns0:is>
      </ns0:c>
      <ns0:c r="BI46" s="31" t="inlineStr">
        <ns0:is>
          <ns0:t>не собрано</ns0:t>
        </ns0:is>
      </ns0:c>
      <ns0:c r="BJ46" s="31" t="inlineStr">
        <ns0:is>
          <ns0:t>не собрано</ns0:t>
        </ns0:is>
      </ns0:c>
      <ns0:c r="BK46" s="31" t="inlineStr">
        <ns0:is>
          <ns0:t>не собрано</ns0:t>
        </ns0:is>
      </ns0:c>
      <ns0:c r="BL46" s="31" t="inlineStr">
        <ns0:is>
          <ns0:t>не собрано</ns0:t>
        </ns0:is>
      </ns0:c>
    </ns0:row>
    <ns0:row r="47">
      <ns0:c r="A47" s="31" t="n"/>
      <ns0:c r="B47" s="31" t="inlineStr">
        <ns0:is>
          <ns0:t>Анкор</ns0:t>
        </ns0:is>
      </ns0:c>
      <ns0:c r="C47" s="31" t="b">
        <ns0:v>0</ns0:v>
      </ns0:c>
      <ns0:c r="D47" s="31" t="n"/>
      <ns0:c r="E47" s="31" t="str">
        <ns0:f>'рабочий'!D32</ns0:f>
        <ns0:v>не выбрана</ns0:v>
      </ns0:c>
      <ns0:c r="F47" s="31" t="str">
        <ns0:f>'рабочий'!E32</ns0:f>
        <ns0:v>не выбрана</ns0:v>
      </ns0:c>
      <ns0:c r="G47" s="31" t="str">
        <ns0:f>'рабочий'!F32</ns0:f>
        <ns0:v>не выбрана</ns0:v>
      </ns0:c>
      <ns0:c r="H47" s="31" t="str">
        <ns0:f>'рабочий'!G32</ns0:f>
        <ns0:v>не выбрана</ns0:v>
      </ns0:c>
      <ns0:c r="I47" s="31" t="str">
        <ns0:f>'рабочий'!H32</ns0:f>
        <ns0:v>не выбрана</ns0:v>
      </ns0:c>
      <ns0:c r="J47" s="31" t="str">
        <ns0:f>'рабочий'!I32</ns0:f>
        <ns0:v>не выбрана</ns0:v>
      </ns0:c>
      <ns0:c r="K47" s="31" t="str">
        <ns0:f>'рабочий'!J32</ns0:f>
        <ns0:v>не выбрана</ns0:v>
      </ns0:c>
      <ns0:c r="L47" s="31" t="str">
        <ns0:f>'рабочий'!K32</ns0:f>
        <ns0:v>не выбрана</ns0:v>
      </ns0:c>
      <ns0:c r="M47" s="31" t="str">
        <ns0:f>'рабочий'!L32</ns0:f>
        <ns0:v>не выбрана</ns0:v>
      </ns0:c>
      <ns0:c r="N47" s="31" t="str">
        <ns0:f>'рабочий'!M32</ns0:f>
        <ns0:v>не выбрана</ns0:v>
      </ns0:c>
      <ns0:c r="O47" s="32" t="str">
        <ns0:f>'рабочий'!N32</ns0:f>
        <ns0:v>не выбрана</ns0:v>
      </ns0:c>
      <ns0:c r="P47" s="32" t="str">
        <ns0:f>'рабочий'!O32</ns0:f>
        <ns0:v>не выбрана</ns0:v>
      </ns0:c>
      <ns0:c r="Q47" s="32" t="str">
        <ns0:f>'рабочий'!P32</ns0:f>
        <ns0:v>не выбрана</ns0:v>
      </ns0:c>
      <ns0:c r="R47" s="32" t="str">
        <ns0:f>'рабочий'!Q32</ns0:f>
        <ns0:v>не выбрана</ns0:v>
      </ns0:c>
      <ns0:c r="S47" s="32" t="str">
        <ns0:f>'рабочий'!R32</ns0:f>
        <ns0:v>не выбрана</ns0:v>
      </ns0:c>
      <ns0:c r="T47" s="32" t="str">
        <ns0:f>'рабочий'!S32</ns0:f>
        <ns0:v>не выбрана</ns0:v>
      </ns0:c>
      <ns0:c r="U47" s="32" t="str">
        <ns0:f>'рабочий'!T32</ns0:f>
        <ns0:v>не выбрана</ns0:v>
      </ns0:c>
      <ns0:c r="V47" s="32" t="str">
        <ns0:f>'рабочий'!U32</ns0:f>
        <ns0:v>не выбрана</ns0:v>
      </ns0:c>
      <ns0:c r="W47" s="32" t="str">
        <ns0:f>'рабочий'!V32</ns0:f>
        <ns0:v>не выбрана</ns0:v>
      </ns0:c>
      <ns0:c r="X47" s="32" t="str">
        <ns0:f>'рабочий'!W32</ns0:f>
        <ns0:v>не выбрана</ns0:v>
      </ns0:c>
      <ns0:c r="Y47" s="32" t="str">
        <ns0:f>'рабочий'!X32</ns0:f>
        <ns0:v>не выбрана</ns0:v>
      </ns0:c>
      <ns0:c r="Z47" s="32" t="str">
        <ns0:f>'рабочий'!Y32</ns0:f>
        <ns0:v>не выбрана</ns0:v>
      </ns0:c>
      <ns0:c r="AA47" s="32" t="str">
        <ns0:f>'рабочий'!Z32</ns0:f>
        <ns0:v>не выбрана</ns0:v>
      </ns0:c>
      <ns0:c r="AB47" s="32" t="str">
        <ns0:f>'рабочий'!AA32</ns0:f>
        <ns0:v>не выбрана</ns0:v>
      </ns0:c>
      <ns0:c r="AC47" s="32" t="str">
        <ns0:f>'рабочий'!AB32</ns0:f>
        <ns0:v>не выбрана</ns0:v>
      </ns0:c>
      <ns0:c r="AD47" s="32" t="str">
        <ns0:f>'рабочий'!AC32</ns0:f>
        <ns0:v>не выбрана</ns0:v>
      </ns0:c>
      <ns0:c r="AE47" s="32" t="str">
        <ns0:f>'рабочий'!AD32</ns0:f>
        <ns0:v>не выбрана</ns0:v>
      </ns0:c>
      <ns0:c r="AF47" s="32" t="str">
        <ns0:f>'рабочий'!AE32</ns0:f>
        <ns0:v>не выбрана</ns0:v>
      </ns0:c>
      <ns0:c r="AG47" s="32" t="str">
        <ns0:f>'рабочий'!AF32</ns0:f>
        <ns0:v>не выбрана</ns0:v>
      </ns0:c>
      <ns0:c r="AH47" s="31" t="n"/>
      <ns0:c r="AI47" s="31" t="inlineStr">
        <ns0:is>
          <ns0:t>не собрано</ns0:t>
        </ns0:is>
      </ns0:c>
      <ns0:c r="AJ47" s="31" t="inlineStr">
        <ns0:is>
          <ns0:t>не собрано</ns0:t>
        </ns0:is>
      </ns0:c>
      <ns0:c r="AK47" s="31" t="inlineStr">
        <ns0:is>
          <ns0:t>не собрано</ns0:t>
        </ns0:is>
      </ns0:c>
      <ns0:c r="AL47" s="31" t="inlineStr">
        <ns0:is>
          <ns0:t>не собрано</ns0:t>
        </ns0:is>
      </ns0:c>
      <ns0:c r="AM47" s="31" t="inlineStr">
        <ns0:is>
          <ns0:t>не собрано</ns0:t>
        </ns0:is>
      </ns0:c>
      <ns0:c r="AN47" s="31" t="inlineStr">
        <ns0:is>
          <ns0:t>не собрано</ns0:t>
        </ns0:is>
      </ns0:c>
      <ns0:c r="AO47" s="31" t="inlineStr">
        <ns0:is>
          <ns0:t>не собрано</ns0:t>
        </ns0:is>
      </ns0:c>
      <ns0:c r="AP47" s="31" t="inlineStr">
        <ns0:is>
          <ns0:t>не собрано</ns0:t>
        </ns0:is>
      </ns0:c>
      <ns0:c r="AQ47" s="31" t="inlineStr">
        <ns0:is>
          <ns0:t>не собрано</ns0:t>
        </ns0:is>
      </ns0:c>
      <ns0:c r="AR47" s="31" t="inlineStr">
        <ns0:is>
          <ns0:t>не собрано</ns0:t>
        </ns0:is>
      </ns0:c>
      <ns0:c r="AS47" s="31" t="inlineStr">
        <ns0:is>
          <ns0:t>не собрано</ns0:t>
        </ns0:is>
      </ns0:c>
      <ns0:c r="AT47" s="31" t="inlineStr">
        <ns0:is>
          <ns0:t>не собрано</ns0:t>
        </ns0:is>
      </ns0:c>
      <ns0:c r="AU47" s="31" t="inlineStr">
        <ns0:is>
          <ns0:t>не собрано</ns0:t>
        </ns0:is>
      </ns0:c>
      <ns0:c r="AV47" s="31" t="inlineStr">
        <ns0:is>
          <ns0:t>не собрано</ns0:t>
        </ns0:is>
      </ns0:c>
      <ns0:c r="AW47" s="31" t="inlineStr">
        <ns0:is>
          <ns0:t>не собрано</ns0:t>
        </ns0:is>
      </ns0:c>
      <ns0:c r="AX47" s="31" t="inlineStr">
        <ns0:is>
          <ns0:t>не собрано</ns0:t>
        </ns0:is>
      </ns0:c>
      <ns0:c r="AY47" s="31" t="inlineStr">
        <ns0:is>
          <ns0:t>не собрано</ns0:t>
        </ns0:is>
      </ns0:c>
      <ns0:c r="AZ47" s="31" t="inlineStr">
        <ns0:is>
          <ns0:t>не собрано</ns0:t>
        </ns0:is>
      </ns0:c>
      <ns0:c r="BA47" s="31" t="inlineStr">
        <ns0:is>
          <ns0:t>не собрано</ns0:t>
        </ns0:is>
      </ns0:c>
      <ns0:c r="BB47" s="31" t="inlineStr">
        <ns0:is>
          <ns0:t>не собрано</ns0:t>
        </ns0:is>
      </ns0:c>
      <ns0:c r="BC47" s="31" t="inlineStr">
        <ns0:is>
          <ns0:t>не собрано</ns0:t>
        </ns0:is>
      </ns0:c>
      <ns0:c r="BD47" s="31" t="inlineStr">
        <ns0:is>
          <ns0:t>не собрано</ns0:t>
        </ns0:is>
      </ns0:c>
      <ns0:c r="BE47" s="31" t="inlineStr">
        <ns0:is>
          <ns0:t>не собрано</ns0:t>
        </ns0:is>
      </ns0:c>
      <ns0:c r="BF47" s="31" t="inlineStr">
        <ns0:is>
          <ns0:t>не собрано</ns0:t>
        </ns0:is>
      </ns0:c>
      <ns0:c r="BG47" s="31" t="inlineStr">
        <ns0:is>
          <ns0:t>не собрано</ns0:t>
        </ns0:is>
      </ns0:c>
      <ns0:c r="BH47" s="31" t="inlineStr">
        <ns0:is>
          <ns0:t>не собрано</ns0:t>
        </ns0:is>
      </ns0:c>
      <ns0:c r="BI47" s="31" t="inlineStr">
        <ns0:is>
          <ns0:t>не собрано</ns0:t>
        </ns0:is>
      </ns0:c>
      <ns0:c r="BJ47" s="31" t="inlineStr">
        <ns0:is>
          <ns0:t>не собрано</ns0:t>
        </ns0:is>
      </ns0:c>
      <ns0:c r="BK47" s="31" t="inlineStr">
        <ns0:is>
          <ns0:t>не собрано</ns0:t>
        </ns0:is>
      </ns0:c>
      <ns0:c r="BL47" s="31" t="inlineStr">
        <ns0:is>
          <ns0:t>не собрано</ns0:t>
        </ns0:is>
      </ns0:c>
    </ns0:row>
    <ns0:row r="48">
      <ns0:c r="A48" s="31" t="n"/>
      <ns0:c r="B48" s="31" t="inlineStr">
        <ns0:is>
          <ns0:t>ЖелдорАльянс</ns0:t>
        </ns0:is>
      </ns0:c>
      <ns0:c r="C48" s="31" t="b">
        <ns0:v>0</ns0:v>
      </ns0:c>
      <ns0:c r="D48" s="31" t="n"/>
      <ns0:c r="E48" s="31" t="str">
        <ns0:f>'рабочий'!D33</ns0:f>
        <ns0:v>не выбрана</ns0:v>
      </ns0:c>
      <ns0:c r="F48" s="31" t="str">
        <ns0:f>'рабочий'!E33</ns0:f>
        <ns0:v>не выбрана</ns0:v>
      </ns0:c>
      <ns0:c r="G48" s="31" t="str">
        <ns0:f>'рабочий'!F33</ns0:f>
        <ns0:v>не выбрана</ns0:v>
      </ns0:c>
      <ns0:c r="H48" s="31" t="str">
        <ns0:f>'рабочий'!G33</ns0:f>
        <ns0:v>не выбрана</ns0:v>
      </ns0:c>
      <ns0:c r="I48" s="31" t="str">
        <ns0:f>'рабочий'!H33</ns0:f>
        <ns0:v>не выбрана</ns0:v>
      </ns0:c>
      <ns0:c r="J48" s="31" t="str">
        <ns0:f>'рабочий'!I33</ns0:f>
        <ns0:v>не выбрана</ns0:v>
      </ns0:c>
      <ns0:c r="K48" s="31" t="str">
        <ns0:f>'рабочий'!J33</ns0:f>
        <ns0:v>не выбрана</ns0:v>
      </ns0:c>
      <ns0:c r="L48" s="31" t="str">
        <ns0:f>'рабочий'!K33</ns0:f>
        <ns0:v>не выбрана</ns0:v>
      </ns0:c>
      <ns0:c r="M48" s="31" t="str">
        <ns0:f>'рабочий'!L33</ns0:f>
        <ns0:v>не выбрана</ns0:v>
      </ns0:c>
      <ns0:c r="N48" s="31" t="str">
        <ns0:f>'рабочий'!M33</ns0:f>
        <ns0:v>не выбрана</ns0:v>
      </ns0:c>
      <ns0:c r="O48" s="32" t="str">
        <ns0:f>'рабочий'!N33</ns0:f>
        <ns0:v>не выбрана</ns0:v>
      </ns0:c>
      <ns0:c r="P48" s="32" t="str">
        <ns0:f>'рабочий'!O33</ns0:f>
        <ns0:v>не выбрана</ns0:v>
      </ns0:c>
      <ns0:c r="Q48" s="32" t="str">
        <ns0:f>'рабочий'!P33</ns0:f>
        <ns0:v>не выбрана</ns0:v>
      </ns0:c>
      <ns0:c r="R48" s="32" t="str">
        <ns0:f>'рабочий'!Q33</ns0:f>
        <ns0:v>не выбрана</ns0:v>
      </ns0:c>
      <ns0:c r="S48" s="32" t="str">
        <ns0:f>'рабочий'!R33</ns0:f>
        <ns0:v>не выбрана</ns0:v>
      </ns0:c>
      <ns0:c r="T48" s="32" t="str">
        <ns0:f>'рабочий'!S33</ns0:f>
        <ns0:v>не выбрана</ns0:v>
      </ns0:c>
      <ns0:c r="U48" s="32" t="str">
        <ns0:f>'рабочий'!T33</ns0:f>
        <ns0:v>не выбрана</ns0:v>
      </ns0:c>
      <ns0:c r="V48" s="32" t="str">
        <ns0:f>'рабочий'!U33</ns0:f>
        <ns0:v>не выбрана</ns0:v>
      </ns0:c>
      <ns0:c r="W48" s="32" t="str">
        <ns0:f>'рабочий'!V33</ns0:f>
        <ns0:v>не выбрана</ns0:v>
      </ns0:c>
      <ns0:c r="X48" s="32" t="str">
        <ns0:f>'рабочий'!W33</ns0:f>
        <ns0:v>не выбрана</ns0:v>
      </ns0:c>
      <ns0:c r="Y48" s="32" t="str">
        <ns0:f>'рабочий'!X33</ns0:f>
        <ns0:v>не выбрана</ns0:v>
      </ns0:c>
      <ns0:c r="Z48" s="32" t="str">
        <ns0:f>'рабочий'!Y33</ns0:f>
        <ns0:v>не выбрана</ns0:v>
      </ns0:c>
      <ns0:c r="AA48" s="32" t="str">
        <ns0:f>'рабочий'!Z33</ns0:f>
        <ns0:v>не выбрана</ns0:v>
      </ns0:c>
      <ns0:c r="AB48" s="32" t="str">
        <ns0:f>'рабочий'!AA33</ns0:f>
        <ns0:v>не выбрана</ns0:v>
      </ns0:c>
      <ns0:c r="AC48" s="32" t="str">
        <ns0:f>'рабочий'!AB33</ns0:f>
        <ns0:v>не выбрана</ns0:v>
      </ns0:c>
      <ns0:c r="AD48" s="32" t="str">
        <ns0:f>'рабочий'!AC33</ns0:f>
        <ns0:v>не выбрана</ns0:v>
      </ns0:c>
      <ns0:c r="AE48" s="32" t="str">
        <ns0:f>'рабочий'!AD33</ns0:f>
        <ns0:v>не выбрана</ns0:v>
      </ns0:c>
      <ns0:c r="AF48" s="32" t="str">
        <ns0:f>'рабочий'!AE33</ns0:f>
        <ns0:v>не выбрана</ns0:v>
      </ns0:c>
      <ns0:c r="AG48" s="32" t="str">
        <ns0:f>'рабочий'!AF33</ns0:f>
        <ns0:v>не выбрана</ns0:v>
      </ns0:c>
      <ns0:c r="AH48" s="31" t="n"/>
      <ns0:c r="AI48" s="31" t="inlineStr">
        <ns0:is>
          <ns0:t>не собрано</ns0:t>
        </ns0:is>
      </ns0:c>
      <ns0:c r="AJ48" s="31" t="inlineStr">
        <ns0:is>
          <ns0:t>не собрано</ns0:t>
        </ns0:is>
      </ns0:c>
      <ns0:c r="AK48" s="31" t="inlineStr">
        <ns0:is>
          <ns0:t>не собрано</ns0:t>
        </ns0:is>
      </ns0:c>
      <ns0:c r="AL48" s="31" t="inlineStr">
        <ns0:is>
          <ns0:t>не собрано</ns0:t>
        </ns0:is>
      </ns0:c>
      <ns0:c r="AM48" s="31" t="inlineStr">
        <ns0:is>
          <ns0:t>не собрано</ns0:t>
        </ns0:is>
      </ns0:c>
      <ns0:c r="AN48" s="31" t="inlineStr">
        <ns0:is>
          <ns0:t>не собрано</ns0:t>
        </ns0:is>
      </ns0:c>
      <ns0:c r="AO48" s="31" t="inlineStr">
        <ns0:is>
          <ns0:t>не собрано</ns0:t>
        </ns0:is>
      </ns0:c>
      <ns0:c r="AP48" s="31" t="inlineStr">
        <ns0:is>
          <ns0:t>не собрано</ns0:t>
        </ns0:is>
      </ns0:c>
      <ns0:c r="AQ48" s="31" t="inlineStr">
        <ns0:is>
          <ns0:t>не собрано</ns0:t>
        </ns0:is>
      </ns0:c>
      <ns0:c r="AR48" s="31" t="inlineStr">
        <ns0:is>
          <ns0:t>не собрано</ns0:t>
        </ns0:is>
      </ns0:c>
      <ns0:c r="AS48" s="31" t="inlineStr">
        <ns0:is>
          <ns0:t>не собрано</ns0:t>
        </ns0:is>
      </ns0:c>
      <ns0:c r="AT48" s="31" t="inlineStr">
        <ns0:is>
          <ns0:t>не собрано</ns0:t>
        </ns0:is>
      </ns0:c>
      <ns0:c r="AU48" s="31" t="inlineStr">
        <ns0:is>
          <ns0:t>не собрано</ns0:t>
        </ns0:is>
      </ns0:c>
      <ns0:c r="AV48" s="31" t="inlineStr">
        <ns0:is>
          <ns0:t>не собрано</ns0:t>
        </ns0:is>
      </ns0:c>
      <ns0:c r="AW48" s="31" t="inlineStr">
        <ns0:is>
          <ns0:t>не собрано</ns0:t>
        </ns0:is>
      </ns0:c>
      <ns0:c r="AX48" s="31" t="inlineStr">
        <ns0:is>
          <ns0:t>не собрано</ns0:t>
        </ns0:is>
      </ns0:c>
      <ns0:c r="AY48" s="31" t="inlineStr">
        <ns0:is>
          <ns0:t>не собрано</ns0:t>
        </ns0:is>
      </ns0:c>
      <ns0:c r="AZ48" s="31" t="inlineStr">
        <ns0:is>
          <ns0:t>не собрано</ns0:t>
        </ns0:is>
      </ns0:c>
      <ns0:c r="BA48" s="31" t="inlineStr">
        <ns0:is>
          <ns0:t>не собрано</ns0:t>
        </ns0:is>
      </ns0:c>
      <ns0:c r="BB48" s="31" t="inlineStr">
        <ns0:is>
          <ns0:t>не собрано</ns0:t>
        </ns0:is>
      </ns0:c>
      <ns0:c r="BC48" s="31" t="inlineStr">
        <ns0:is>
          <ns0:t>не собрано</ns0:t>
        </ns0:is>
      </ns0:c>
      <ns0:c r="BD48" s="31" t="inlineStr">
        <ns0:is>
          <ns0:t>не собрано</ns0:t>
        </ns0:is>
      </ns0:c>
      <ns0:c r="BE48" s="31" t="inlineStr">
        <ns0:is>
          <ns0:t>не собрано</ns0:t>
        </ns0:is>
      </ns0:c>
      <ns0:c r="BF48" s="31" t="inlineStr">
        <ns0:is>
          <ns0:t>не собрано</ns0:t>
        </ns0:is>
      </ns0:c>
      <ns0:c r="BG48" s="31" t="inlineStr">
        <ns0:is>
          <ns0:t>не собрано</ns0:t>
        </ns0:is>
      </ns0:c>
      <ns0:c r="BH48" s="31" t="inlineStr">
        <ns0:is>
          <ns0:t>не собрано</ns0:t>
        </ns0:is>
      </ns0:c>
      <ns0:c r="BI48" s="31" t="inlineStr">
        <ns0:is>
          <ns0:t>не собрано</ns0:t>
        </ns0:is>
      </ns0:c>
      <ns0:c r="BJ48" s="31" t="inlineStr">
        <ns0:is>
          <ns0:t>не собрано</ns0:t>
        </ns0:is>
      </ns0:c>
      <ns0:c r="BK48" s="31" t="inlineStr">
        <ns0:is>
          <ns0:t>не собрано</ns0:t>
        </ns0:is>
      </ns0:c>
      <ns0:c r="BL48" s="31" t="inlineStr">
        <ns0:is>
          <ns0:t>не собрано</ns0:t>
        </ns0:is>
      </ns0:c>
    </ns0:row>
    <ns0:row r="49">
      <ns0:c r="A49" s="31" t="n"/>
      <ns0:c r="B49" s="31" t="inlineStr">
        <ns0:is>
          <ns0:t>ЖелдорЭкспресс</ns0:t>
        </ns0:is>
      </ns0:c>
      <ns0:c r="C49" s="31" t="b">
        <ns0:v>0</ns0:v>
      </ns0:c>
      <ns0:c r="D49" s="31" t="n"/>
      <ns0:c r="E49" s="31" t="str">
        <ns0:f>'рабочий'!D34</ns0:f>
        <ns0:v>не выбрана</ns0:v>
      </ns0:c>
      <ns0:c r="F49" s="31" t="str">
        <ns0:f>'рабочий'!E34</ns0:f>
        <ns0:v>не выбрана</ns0:v>
      </ns0:c>
      <ns0:c r="G49" s="31" t="str">
        <ns0:f>'рабочий'!F34</ns0:f>
        <ns0:v>не выбрана</ns0:v>
      </ns0:c>
      <ns0:c r="H49" s="31" t="str">
        <ns0:f>'рабочий'!G34</ns0:f>
        <ns0:v>не выбрана</ns0:v>
      </ns0:c>
      <ns0:c r="I49" s="31" t="str">
        <ns0:f>'рабочий'!H34</ns0:f>
        <ns0:v>не выбрана</ns0:v>
      </ns0:c>
      <ns0:c r="J49" s="31" t="str">
        <ns0:f>'рабочий'!I34</ns0:f>
        <ns0:v>не выбрана</ns0:v>
      </ns0:c>
      <ns0:c r="K49" s="31" t="str">
        <ns0:f>'рабочий'!J34</ns0:f>
        <ns0:v>не выбрана</ns0:v>
      </ns0:c>
      <ns0:c r="L49" s="31" t="str">
        <ns0:f>'рабочий'!K34</ns0:f>
        <ns0:v>не выбрана</ns0:v>
      </ns0:c>
      <ns0:c r="M49" s="31" t="str">
        <ns0:f>'рабочий'!L34</ns0:f>
        <ns0:v>не выбрана</ns0:v>
      </ns0:c>
      <ns0:c r="N49" s="31" t="str">
        <ns0:f>'рабочий'!M34</ns0:f>
        <ns0:v>не выбрана</ns0:v>
      </ns0:c>
      <ns0:c r="O49" s="32" t="str">
        <ns0:f>'рабочий'!N34</ns0:f>
        <ns0:v>не выбрана</ns0:v>
      </ns0:c>
      <ns0:c r="P49" s="32" t="str">
        <ns0:f>'рабочий'!O34</ns0:f>
        <ns0:v>не выбрана</ns0:v>
      </ns0:c>
      <ns0:c r="Q49" s="32" t="str">
        <ns0:f>'рабочий'!P34</ns0:f>
        <ns0:v>не выбрана</ns0:v>
      </ns0:c>
      <ns0:c r="R49" s="32" t="str">
        <ns0:f>'рабочий'!Q34</ns0:f>
        <ns0:v>не выбрана</ns0:v>
      </ns0:c>
      <ns0:c r="S49" s="32" t="str">
        <ns0:f>'рабочий'!R34</ns0:f>
        <ns0:v>не выбрана</ns0:v>
      </ns0:c>
      <ns0:c r="T49" s="32" t="str">
        <ns0:f>'рабочий'!S34</ns0:f>
        <ns0:v>не выбрана</ns0:v>
      </ns0:c>
      <ns0:c r="U49" s="32" t="str">
        <ns0:f>'рабочий'!T34</ns0:f>
        <ns0:v>не выбрана</ns0:v>
      </ns0:c>
      <ns0:c r="V49" s="32" t="str">
        <ns0:f>'рабочий'!U34</ns0:f>
        <ns0:v>не выбрана</ns0:v>
      </ns0:c>
      <ns0:c r="W49" s="32" t="str">
        <ns0:f>'рабочий'!V34</ns0:f>
        <ns0:v>не выбрана</ns0:v>
      </ns0:c>
      <ns0:c r="X49" s="32" t="str">
        <ns0:f>'рабочий'!W34</ns0:f>
        <ns0:v>не выбрана</ns0:v>
      </ns0:c>
      <ns0:c r="Y49" s="32" t="str">
        <ns0:f>'рабочий'!X34</ns0:f>
        <ns0:v>не выбрана</ns0:v>
      </ns0:c>
      <ns0:c r="Z49" s="32" t="str">
        <ns0:f>'рабочий'!Y34</ns0:f>
        <ns0:v>не выбрана</ns0:v>
      </ns0:c>
      <ns0:c r="AA49" s="32" t="str">
        <ns0:f>'рабочий'!Z34</ns0:f>
        <ns0:v>не выбрана</ns0:v>
      </ns0:c>
      <ns0:c r="AB49" s="32" t="str">
        <ns0:f>'рабочий'!AA34</ns0:f>
        <ns0:v>не выбрана</ns0:v>
      </ns0:c>
      <ns0:c r="AC49" s="32" t="str">
        <ns0:f>'рабочий'!AB34</ns0:f>
        <ns0:v>не выбрана</ns0:v>
      </ns0:c>
      <ns0:c r="AD49" s="32" t="str">
        <ns0:f>'рабочий'!AC34</ns0:f>
        <ns0:v>не выбрана</ns0:v>
      </ns0:c>
      <ns0:c r="AE49" s="32" t="str">
        <ns0:f>'рабочий'!AD34</ns0:f>
        <ns0:v>не выбрана</ns0:v>
      </ns0:c>
      <ns0:c r="AF49" s="32" t="str">
        <ns0:f>'рабочий'!AE34</ns0:f>
        <ns0:v>не выбрана</ns0:v>
      </ns0:c>
      <ns0:c r="AG49" s="32" t="str">
        <ns0:f>'рабочий'!AF34</ns0:f>
        <ns0:v>не выбрана</ns0:v>
      </ns0:c>
      <ns0:c r="AH49" s="31" t="n"/>
      <ns0:c r="AI49" s="31" t="inlineStr">
        <ns0:is>
          <ns0:t>не собрано</ns0:t>
        </ns0:is>
      </ns0:c>
      <ns0:c r="AJ49" s="31" t="inlineStr">
        <ns0:is>
          <ns0:t>не собрано</ns0:t>
        </ns0:is>
      </ns0:c>
      <ns0:c r="AK49" s="31" t="inlineStr">
        <ns0:is>
          <ns0:t>не собрано</ns0:t>
        </ns0:is>
      </ns0:c>
      <ns0:c r="AL49" s="31" t="inlineStr">
        <ns0:is>
          <ns0:t>не собрано</ns0:t>
        </ns0:is>
      </ns0:c>
      <ns0:c r="AM49" s="31" t="inlineStr">
        <ns0:is>
          <ns0:t>не собрано</ns0:t>
        </ns0:is>
      </ns0:c>
      <ns0:c r="AN49" s="31" t="inlineStr">
        <ns0:is>
          <ns0:t>не собрано</ns0:t>
        </ns0:is>
      </ns0:c>
      <ns0:c r="AO49" s="31" t="inlineStr">
        <ns0:is>
          <ns0:t>не собрано</ns0:t>
        </ns0:is>
      </ns0:c>
      <ns0:c r="AP49" s="31" t="inlineStr">
        <ns0:is>
          <ns0:t>не собрано</ns0:t>
        </ns0:is>
      </ns0:c>
      <ns0:c r="AQ49" s="31" t="inlineStr">
        <ns0:is>
          <ns0:t>не собрано</ns0:t>
        </ns0:is>
      </ns0:c>
      <ns0:c r="AR49" s="31" t="inlineStr">
        <ns0:is>
          <ns0:t>не собрано</ns0:t>
        </ns0:is>
      </ns0:c>
      <ns0:c r="AS49" s="31" t="inlineStr">
        <ns0:is>
          <ns0:t>не собрано</ns0:t>
        </ns0:is>
      </ns0:c>
      <ns0:c r="AT49" s="31" t="inlineStr">
        <ns0:is>
          <ns0:t>не собрано</ns0:t>
        </ns0:is>
      </ns0:c>
      <ns0:c r="AU49" s="31" t="inlineStr">
        <ns0:is>
          <ns0:t>не собрано</ns0:t>
        </ns0:is>
      </ns0:c>
      <ns0:c r="AV49" s="31" t="inlineStr">
        <ns0:is>
          <ns0:t>не собрано</ns0:t>
        </ns0:is>
      </ns0:c>
      <ns0:c r="AW49" s="31" t="inlineStr">
        <ns0:is>
          <ns0:t>не собрано</ns0:t>
        </ns0:is>
      </ns0:c>
      <ns0:c r="AX49" s="31" t="inlineStr">
        <ns0:is>
          <ns0:t>не собрано</ns0:t>
        </ns0:is>
      </ns0:c>
      <ns0:c r="AY49" s="31" t="inlineStr">
        <ns0:is>
          <ns0:t>не собрано</ns0:t>
        </ns0:is>
      </ns0:c>
      <ns0:c r="AZ49" s="31" t="inlineStr">
        <ns0:is>
          <ns0:t>не собрано</ns0:t>
        </ns0:is>
      </ns0:c>
      <ns0:c r="BA49" s="31" t="inlineStr">
        <ns0:is>
          <ns0:t>не собрано</ns0:t>
        </ns0:is>
      </ns0:c>
      <ns0:c r="BB49" s="31" t="inlineStr">
        <ns0:is>
          <ns0:t>не собрано</ns0:t>
        </ns0:is>
      </ns0:c>
      <ns0:c r="BC49" s="31" t="inlineStr">
        <ns0:is>
          <ns0:t>не собрано</ns0:t>
        </ns0:is>
      </ns0:c>
      <ns0:c r="BD49" s="31" t="inlineStr">
        <ns0:is>
          <ns0:t>не собрано</ns0:t>
        </ns0:is>
      </ns0:c>
      <ns0:c r="BE49" s="31" t="inlineStr">
        <ns0:is>
          <ns0:t>не собрано</ns0:t>
        </ns0:is>
      </ns0:c>
      <ns0:c r="BF49" s="31" t="inlineStr">
        <ns0:is>
          <ns0:t>не собрано</ns0:t>
        </ns0:is>
      </ns0:c>
      <ns0:c r="BG49" s="31" t="inlineStr">
        <ns0:is>
          <ns0:t>не собрано</ns0:t>
        </ns0:is>
      </ns0:c>
      <ns0:c r="BH49" s="31" t="inlineStr">
        <ns0:is>
          <ns0:t>не собрано</ns0:t>
        </ns0:is>
      </ns0:c>
      <ns0:c r="BI49" s="31" t="inlineStr">
        <ns0:is>
          <ns0:t>не собрано</ns0:t>
        </ns0:is>
      </ns0:c>
      <ns0:c r="BJ49" s="31" t="inlineStr">
        <ns0:is>
          <ns0:t>не собрано</ns0:t>
        </ns0:is>
      </ns0:c>
      <ns0:c r="BK49" s="31" t="inlineStr">
        <ns0:is>
          <ns0:t>не собрано</ns0:t>
        </ns0:is>
      </ns0:c>
      <ns0:c r="BL49" s="31" t="inlineStr">
        <ns0:is>
          <ns0:t>не собрано</ns0:t>
        </ns0:is>
      </ns0:c>
    </ns0:row>
    <ns0:row r="50">
      <ns0:c r="A50" s="31" t="n"/>
      <ns0:c r="B50" s="31" t="inlineStr">
        <ns0:is>
          <ns0:t>МТК авто</ns0:t>
        </ns0:is>
      </ns0:c>
      <ns0:c r="C50" s="31" t="b">
        <ns0:v>0</ns0:v>
      </ns0:c>
      <ns0:c r="D50" s="31" t="n"/>
      <ns0:c r="E50" s="31" t="str">
        <ns0:f>'рабочий'!D35</ns0:f>
        <ns0:v>не выбрана</ns0:v>
      </ns0:c>
      <ns0:c r="F50" s="31" t="str">
        <ns0:f>'рабочий'!E35</ns0:f>
        <ns0:v>не выбрана</ns0:v>
      </ns0:c>
      <ns0:c r="G50" s="31" t="str">
        <ns0:f>'рабочий'!F35</ns0:f>
        <ns0:v>не выбрана</ns0:v>
      </ns0:c>
      <ns0:c r="H50" s="31" t="str">
        <ns0:f>'рабочий'!G35</ns0:f>
        <ns0:v>не выбрана</ns0:v>
      </ns0:c>
      <ns0:c r="I50" s="31" t="str">
        <ns0:f>'рабочий'!H35</ns0:f>
        <ns0:v>не выбрана</ns0:v>
      </ns0:c>
      <ns0:c r="J50" s="31" t="str">
        <ns0:f>'рабочий'!I35</ns0:f>
        <ns0:v>не выбрана</ns0:v>
      </ns0:c>
      <ns0:c r="K50" s="31" t="str">
        <ns0:f>'рабочий'!J35</ns0:f>
        <ns0:v>не выбрана</ns0:v>
      </ns0:c>
      <ns0:c r="L50" s="31" t="str">
        <ns0:f>'рабочий'!K35</ns0:f>
        <ns0:v>не выбрана</ns0:v>
      </ns0:c>
      <ns0:c r="M50" s="31" t="str">
        <ns0:f>'рабочий'!L35</ns0:f>
        <ns0:v>не выбрана</ns0:v>
      </ns0:c>
      <ns0:c r="N50" s="31" t="str">
        <ns0:f>'рабочий'!M35</ns0:f>
        <ns0:v>не выбрана</ns0:v>
      </ns0:c>
      <ns0:c r="O50" s="32" t="str">
        <ns0:f>'рабочий'!N35</ns0:f>
        <ns0:v>не выбрана</ns0:v>
      </ns0:c>
      <ns0:c r="P50" s="32" t="str">
        <ns0:f>'рабочий'!O35</ns0:f>
        <ns0:v>не выбрана</ns0:v>
      </ns0:c>
      <ns0:c r="Q50" s="32" t="str">
        <ns0:f>'рабочий'!P35</ns0:f>
        <ns0:v>не выбрана</ns0:v>
      </ns0:c>
      <ns0:c r="R50" s="32" t="str">
        <ns0:f>'рабочий'!Q35</ns0:f>
        <ns0:v>не выбрана</ns0:v>
      </ns0:c>
      <ns0:c r="S50" s="32" t="str">
        <ns0:f>'рабочий'!R35</ns0:f>
        <ns0:v>не выбрана</ns0:v>
      </ns0:c>
      <ns0:c r="T50" s="32" t="str">
        <ns0:f>'рабочий'!S35</ns0:f>
        <ns0:v>не выбрана</ns0:v>
      </ns0:c>
      <ns0:c r="U50" s="32" t="str">
        <ns0:f>'рабочий'!T35</ns0:f>
        <ns0:v>не выбрана</ns0:v>
      </ns0:c>
      <ns0:c r="V50" s="32" t="str">
        <ns0:f>'рабочий'!U35</ns0:f>
        <ns0:v>не выбрана</ns0:v>
      </ns0:c>
      <ns0:c r="W50" s="32" t="str">
        <ns0:f>'рабочий'!V35</ns0:f>
        <ns0:v>не выбрана</ns0:v>
      </ns0:c>
      <ns0:c r="X50" s="32" t="str">
        <ns0:f>'рабочий'!W35</ns0:f>
        <ns0:v>не выбрана</ns0:v>
      </ns0:c>
      <ns0:c r="Y50" s="32" t="str">
        <ns0:f>'рабочий'!X35</ns0:f>
        <ns0:v>не выбрана</ns0:v>
      </ns0:c>
      <ns0:c r="Z50" s="32" t="str">
        <ns0:f>'рабочий'!Y35</ns0:f>
        <ns0:v>не выбрана</ns0:v>
      </ns0:c>
      <ns0:c r="AA50" s="32" t="str">
        <ns0:f>'рабочий'!Z35</ns0:f>
        <ns0:v>не выбрана</ns0:v>
      </ns0:c>
      <ns0:c r="AB50" s="32" t="str">
        <ns0:f>'рабочий'!AA35</ns0:f>
        <ns0:v>не выбрана</ns0:v>
      </ns0:c>
      <ns0:c r="AC50" s="32" t="str">
        <ns0:f>'рабочий'!AB35</ns0:f>
        <ns0:v>не выбрана</ns0:v>
      </ns0:c>
      <ns0:c r="AD50" s="32" t="str">
        <ns0:f>'рабочий'!AC35</ns0:f>
        <ns0:v>не выбрана</ns0:v>
      </ns0:c>
      <ns0:c r="AE50" s="32" t="str">
        <ns0:f>'рабочий'!AD35</ns0:f>
        <ns0:v>не выбрана</ns0:v>
      </ns0:c>
      <ns0:c r="AF50" s="32" t="str">
        <ns0:f>'рабочий'!AE35</ns0:f>
        <ns0:v>не выбрана</ns0:v>
      </ns0:c>
      <ns0:c r="AG50" s="32" t="str">
        <ns0:f>'рабочий'!AF35</ns0:f>
        <ns0:v>не выбрана</ns0:v>
      </ns0:c>
      <ns0:c r="AH50" s="31" t="n"/>
      <ns0:c r="AI50" s="31" t="inlineStr">
        <ns0:is>
          <ns0:t>не собрано</ns0:t>
        </ns0:is>
      </ns0:c>
      <ns0:c r="AJ50" s="31" t="inlineStr">
        <ns0:is>
          <ns0:t>не собрано</ns0:t>
        </ns0:is>
      </ns0:c>
      <ns0:c r="AK50" s="31" t="inlineStr">
        <ns0:is>
          <ns0:t>не собрано</ns0:t>
        </ns0:is>
      </ns0:c>
      <ns0:c r="AL50" s="31" t="inlineStr">
        <ns0:is>
          <ns0:t>не собрано</ns0:t>
        </ns0:is>
      </ns0:c>
      <ns0:c r="AM50" s="31" t="inlineStr">
        <ns0:is>
          <ns0:t>не собрано</ns0:t>
        </ns0:is>
      </ns0:c>
      <ns0:c r="AN50" s="31" t="inlineStr">
        <ns0:is>
          <ns0:t>не собрано</ns0:t>
        </ns0:is>
      </ns0:c>
      <ns0:c r="AO50" s="31" t="inlineStr">
        <ns0:is>
          <ns0:t>не собрано</ns0:t>
        </ns0:is>
      </ns0:c>
      <ns0:c r="AP50" s="31" t="inlineStr">
        <ns0:is>
          <ns0:t>не собрано</ns0:t>
        </ns0:is>
      </ns0:c>
      <ns0:c r="AQ50" s="31" t="inlineStr">
        <ns0:is>
          <ns0:t>не собрано</ns0:t>
        </ns0:is>
      </ns0:c>
      <ns0:c r="AR50" s="31" t="inlineStr">
        <ns0:is>
          <ns0:t>не собрано</ns0:t>
        </ns0:is>
      </ns0:c>
      <ns0:c r="AS50" s="31" t="inlineStr">
        <ns0:is>
          <ns0:t>не собрано</ns0:t>
        </ns0:is>
      </ns0:c>
      <ns0:c r="AT50" s="31" t="inlineStr">
        <ns0:is>
          <ns0:t>не собрано</ns0:t>
        </ns0:is>
      </ns0:c>
      <ns0:c r="AU50" s="31" t="inlineStr">
        <ns0:is>
          <ns0:t>не собрано</ns0:t>
        </ns0:is>
      </ns0:c>
      <ns0:c r="AV50" s="31" t="inlineStr">
        <ns0:is>
          <ns0:t>не собрано</ns0:t>
        </ns0:is>
      </ns0:c>
      <ns0:c r="AW50" s="31" t="inlineStr">
        <ns0:is>
          <ns0:t>не собрано</ns0:t>
        </ns0:is>
      </ns0:c>
      <ns0:c r="AX50" s="31" t="inlineStr">
        <ns0:is>
          <ns0:t>не собрано</ns0:t>
        </ns0:is>
      </ns0:c>
      <ns0:c r="AY50" s="31" t="inlineStr">
        <ns0:is>
          <ns0:t>не собрано</ns0:t>
        </ns0:is>
      </ns0:c>
      <ns0:c r="AZ50" s="31" t="inlineStr">
        <ns0:is>
          <ns0:t>не собрано</ns0:t>
        </ns0:is>
      </ns0:c>
      <ns0:c r="BA50" s="31" t="inlineStr">
        <ns0:is>
          <ns0:t>не собрано</ns0:t>
        </ns0:is>
      </ns0:c>
      <ns0:c r="BB50" s="31" t="inlineStr">
        <ns0:is>
          <ns0:t>не собрано</ns0:t>
        </ns0:is>
      </ns0:c>
      <ns0:c r="BC50" s="31" t="inlineStr">
        <ns0:is>
          <ns0:t>не собрано</ns0:t>
        </ns0:is>
      </ns0:c>
      <ns0:c r="BD50" s="31" t="inlineStr">
        <ns0:is>
          <ns0:t>не собрано</ns0:t>
        </ns0:is>
      </ns0:c>
      <ns0:c r="BE50" s="31" t="inlineStr">
        <ns0:is>
          <ns0:t>не собрано</ns0:t>
        </ns0:is>
      </ns0:c>
      <ns0:c r="BF50" s="31" t="inlineStr">
        <ns0:is>
          <ns0:t>не собрано</ns0:t>
        </ns0:is>
      </ns0:c>
      <ns0:c r="BG50" s="31" t="inlineStr">
        <ns0:is>
          <ns0:t>не собрано</ns0:t>
        </ns0:is>
      </ns0:c>
      <ns0:c r="BH50" s="31" t="inlineStr">
        <ns0:is>
          <ns0:t>не собрано</ns0:t>
        </ns0:is>
      </ns0:c>
      <ns0:c r="BI50" s="31" t="inlineStr">
        <ns0:is>
          <ns0:t>не собрано</ns0:t>
        </ns0:is>
      </ns0:c>
      <ns0:c r="BJ50" s="31" t="inlineStr">
        <ns0:is>
          <ns0:t>не собрано</ns0:t>
        </ns0:is>
      </ns0:c>
      <ns0:c r="BK50" s="31" t="inlineStr">
        <ns0:is>
          <ns0:t>не собрано</ns0:t>
        </ns0:is>
      </ns0:c>
      <ns0:c r="BL50" s="31" t="inlineStr">
        <ns0:is>
          <ns0:t>не собрано</ns0:t>
        </ns0:is>
      </ns0:c>
    </ns0:row>
    <ns0:row r="51">
      <ns0:c r="A51" s="31" t="n"/>
      <ns0:c r="B51" s="31" t="inlineStr">
        <ns0:is>
          <ns0:t>МТК жд</ns0:t>
        </ns0:is>
      </ns0:c>
      <ns0:c r="C51" s="31" t="b">
        <ns0:v>0</ns0:v>
      </ns0:c>
      <ns0:c r="D51" s="31" t="n"/>
      <ns0:c r="E51" s="31" t="str">
        <ns0:f>'рабочий'!D36</ns0:f>
        <ns0:v>не выбрана</ns0:v>
      </ns0:c>
      <ns0:c r="F51" s="31" t="str">
        <ns0:f>'рабочий'!E36</ns0:f>
        <ns0:v>не выбрана</ns0:v>
      </ns0:c>
      <ns0:c r="G51" s="31" t="str">
        <ns0:f>'рабочий'!F36</ns0:f>
        <ns0:v>не выбрана</ns0:v>
      </ns0:c>
      <ns0:c r="H51" s="31" t="str">
        <ns0:f>'рабочий'!G36</ns0:f>
        <ns0:v>не выбрана</ns0:v>
      </ns0:c>
      <ns0:c r="I51" s="31" t="str">
        <ns0:f>'рабочий'!H36</ns0:f>
        <ns0:v>не выбрана</ns0:v>
      </ns0:c>
      <ns0:c r="J51" s="31" t="str">
        <ns0:f>'рабочий'!I36</ns0:f>
        <ns0:v>не выбрана</ns0:v>
      </ns0:c>
      <ns0:c r="K51" s="31" t="str">
        <ns0:f>'рабочий'!J36</ns0:f>
        <ns0:v>не выбрана</ns0:v>
      </ns0:c>
      <ns0:c r="L51" s="31" t="str">
        <ns0:f>'рабочий'!K36</ns0:f>
        <ns0:v>не выбрана</ns0:v>
      </ns0:c>
      <ns0:c r="M51" s="31" t="str">
        <ns0:f>'рабочий'!L36</ns0:f>
        <ns0:v>не выбрана</ns0:v>
      </ns0:c>
      <ns0:c r="N51" s="31" t="str">
        <ns0:f>'рабочий'!M36</ns0:f>
        <ns0:v>не выбрана</ns0:v>
      </ns0:c>
      <ns0:c r="O51" s="32" t="str">
        <ns0:f>'рабочий'!N36</ns0:f>
        <ns0:v>не выбрана</ns0:v>
      </ns0:c>
      <ns0:c r="P51" s="32" t="str">
        <ns0:f>'рабочий'!O36</ns0:f>
        <ns0:v>не выбрана</ns0:v>
      </ns0:c>
      <ns0:c r="Q51" s="32" t="str">
        <ns0:f>'рабочий'!P36</ns0:f>
        <ns0:v>не выбрана</ns0:v>
      </ns0:c>
      <ns0:c r="R51" s="32" t="str">
        <ns0:f>'рабочий'!Q36</ns0:f>
        <ns0:v>не выбрана</ns0:v>
      </ns0:c>
      <ns0:c r="S51" s="32" t="str">
        <ns0:f>'рабочий'!R36</ns0:f>
        <ns0:v>не выбрана</ns0:v>
      </ns0:c>
      <ns0:c r="T51" s="32" t="str">
        <ns0:f>'рабочий'!S36</ns0:f>
        <ns0:v>не выбрана</ns0:v>
      </ns0:c>
      <ns0:c r="U51" s="32" t="str">
        <ns0:f>'рабочий'!T36</ns0:f>
        <ns0:v>не выбрана</ns0:v>
      </ns0:c>
      <ns0:c r="V51" s="32" t="str">
        <ns0:f>'рабочий'!U36</ns0:f>
        <ns0:v>не выбрана</ns0:v>
      </ns0:c>
      <ns0:c r="W51" s="32" t="str">
        <ns0:f>'рабочий'!V36</ns0:f>
        <ns0:v>не выбрана</ns0:v>
      </ns0:c>
      <ns0:c r="X51" s="32" t="str">
        <ns0:f>'рабочий'!W36</ns0:f>
        <ns0:v>не выбрана</ns0:v>
      </ns0:c>
      <ns0:c r="Y51" s="32" t="str">
        <ns0:f>'рабочий'!X36</ns0:f>
        <ns0:v>не выбрана</ns0:v>
      </ns0:c>
      <ns0:c r="Z51" s="32" t="str">
        <ns0:f>'рабочий'!Y36</ns0:f>
        <ns0:v>не выбрана</ns0:v>
      </ns0:c>
      <ns0:c r="AA51" s="32" t="str">
        <ns0:f>'рабочий'!Z36</ns0:f>
        <ns0:v>не выбрана</ns0:v>
      </ns0:c>
      <ns0:c r="AB51" s="32" t="str">
        <ns0:f>'рабочий'!AA36</ns0:f>
        <ns0:v>не выбрана</ns0:v>
      </ns0:c>
      <ns0:c r="AC51" s="32" t="str">
        <ns0:f>'рабочий'!AB36</ns0:f>
        <ns0:v>не выбрана</ns0:v>
      </ns0:c>
      <ns0:c r="AD51" s="32" t="str">
        <ns0:f>'рабочий'!AC36</ns0:f>
        <ns0:v>не выбрана</ns0:v>
      </ns0:c>
      <ns0:c r="AE51" s="32" t="str">
        <ns0:f>'рабочий'!AD36</ns0:f>
        <ns0:v>не выбрана</ns0:v>
      </ns0:c>
      <ns0:c r="AF51" s="32" t="str">
        <ns0:f>'рабочий'!AE36</ns0:f>
        <ns0:v>не выбрана</ns0:v>
      </ns0:c>
      <ns0:c r="AG51" s="32" t="str">
        <ns0:f>'рабочий'!AF36</ns0:f>
        <ns0:v>не выбрана</ns0:v>
      </ns0:c>
      <ns0:c r="AH51" s="31" t="n"/>
      <ns0:c r="AI51" s="31" t="inlineStr">
        <ns0:is>
          <ns0:t>не собрано</ns0:t>
        </ns0:is>
      </ns0:c>
      <ns0:c r="AJ51" s="31" t="inlineStr">
        <ns0:is>
          <ns0:t>не собрано</ns0:t>
        </ns0:is>
      </ns0:c>
      <ns0:c r="AK51" s="31" t="inlineStr">
        <ns0:is>
          <ns0:t>не собрано</ns0:t>
        </ns0:is>
      </ns0:c>
      <ns0:c r="AL51" s="31" t="inlineStr">
        <ns0:is>
          <ns0:t>не собрано</ns0:t>
        </ns0:is>
      </ns0:c>
      <ns0:c r="AM51" s="31" t="inlineStr">
        <ns0:is>
          <ns0:t>не собрано</ns0:t>
        </ns0:is>
      </ns0:c>
      <ns0:c r="AN51" s="31" t="inlineStr">
        <ns0:is>
          <ns0:t>не собрано</ns0:t>
        </ns0:is>
      </ns0:c>
      <ns0:c r="AO51" s="31" t="inlineStr">
        <ns0:is>
          <ns0:t>не собрано</ns0:t>
        </ns0:is>
      </ns0:c>
      <ns0:c r="AP51" s="31" t="inlineStr">
        <ns0:is>
          <ns0:t>не собрано</ns0:t>
        </ns0:is>
      </ns0:c>
      <ns0:c r="AQ51" s="31" t="inlineStr">
        <ns0:is>
          <ns0:t>не собрано</ns0:t>
        </ns0:is>
      </ns0:c>
      <ns0:c r="AR51" s="31" t="inlineStr">
        <ns0:is>
          <ns0:t>не собрано</ns0:t>
        </ns0:is>
      </ns0:c>
      <ns0:c r="AS51" s="31" t="inlineStr">
        <ns0:is>
          <ns0:t>не собрано</ns0:t>
        </ns0:is>
      </ns0:c>
      <ns0:c r="AT51" s="31" t="inlineStr">
        <ns0:is>
          <ns0:t>не собрано</ns0:t>
        </ns0:is>
      </ns0:c>
      <ns0:c r="AU51" s="31" t="inlineStr">
        <ns0:is>
          <ns0:t>не собрано</ns0:t>
        </ns0:is>
      </ns0:c>
      <ns0:c r="AV51" s="31" t="inlineStr">
        <ns0:is>
          <ns0:t>не собрано</ns0:t>
        </ns0:is>
      </ns0:c>
      <ns0:c r="AW51" s="31" t="inlineStr">
        <ns0:is>
          <ns0:t>не собрано</ns0:t>
        </ns0:is>
      </ns0:c>
      <ns0:c r="AX51" s="31" t="inlineStr">
        <ns0:is>
          <ns0:t>не собрано</ns0:t>
        </ns0:is>
      </ns0:c>
      <ns0:c r="AY51" s="31" t="inlineStr">
        <ns0:is>
          <ns0:t>не собрано</ns0:t>
        </ns0:is>
      </ns0:c>
      <ns0:c r="AZ51" s="31" t="inlineStr">
        <ns0:is>
          <ns0:t>не собрано</ns0:t>
        </ns0:is>
      </ns0:c>
      <ns0:c r="BA51" s="31" t="inlineStr">
        <ns0:is>
          <ns0:t>не собрано</ns0:t>
        </ns0:is>
      </ns0:c>
      <ns0:c r="BB51" s="31" t="inlineStr">
        <ns0:is>
          <ns0:t>не собрано</ns0:t>
        </ns0:is>
      </ns0:c>
      <ns0:c r="BC51" s="31" t="inlineStr">
        <ns0:is>
          <ns0:t>не собрано</ns0:t>
        </ns0:is>
      </ns0:c>
      <ns0:c r="BD51" s="31" t="inlineStr">
        <ns0:is>
          <ns0:t>не собрано</ns0:t>
        </ns0:is>
      </ns0:c>
      <ns0:c r="BE51" s="31" t="inlineStr">
        <ns0:is>
          <ns0:t>не собрано</ns0:t>
        </ns0:is>
      </ns0:c>
      <ns0:c r="BF51" s="31" t="inlineStr">
        <ns0:is>
          <ns0:t>не собрано</ns0:t>
        </ns0:is>
      </ns0:c>
      <ns0:c r="BG51" s="31" t="inlineStr">
        <ns0:is>
          <ns0:t>не собрано</ns0:t>
        </ns0:is>
      </ns0:c>
      <ns0:c r="BH51" s="31" t="inlineStr">
        <ns0:is>
          <ns0:t>не собрано</ns0:t>
        </ns0:is>
      </ns0:c>
      <ns0:c r="BI51" s="31" t="inlineStr">
        <ns0:is>
          <ns0:t>не собрано</ns0:t>
        </ns0:is>
      </ns0:c>
      <ns0:c r="BJ51" s="31" t="inlineStr">
        <ns0:is>
          <ns0:t>не собрано</ns0:t>
        </ns0:is>
      </ns0:c>
      <ns0:c r="BK51" s="31" t="inlineStr">
        <ns0:is>
          <ns0:t>не собрано</ns0:t>
        </ns0:is>
      </ns0:c>
      <ns0:c r="BL51" s="31" t="inlineStr">
        <ns0:is>
          <ns0:t>не собрано</ns0:t>
        </ns0:is>
      </ns0:c>
    </ns0:row>
    <ns0:row r="52">
      <ns0:c r="A52" s="31" t="n"/>
      <ns0:c r="B52" s="31" t="inlineStr">
        <ns0:is>
          <ns0:t>Байкал Сервис</ns0:t>
        </ns0:is>
      </ns0:c>
      <ns0:c r="C52" s="31" t="b">
        <ns0:v>1</ns0:v>
      </ns0:c>
      <ns0:c r="D52" s="31" t="n"/>
      <ns0:c r="E52" s="31" t="str">
        <ns0:f>'рабочий'!D37</ns0:f>
        <ns0:v>нет данных</ns0:v>
      </ns0:c>
      <ns0:c r="F52" s="31" t="str">
        <ns0:f>'рабочий'!E37</ns0:f>
        <ns0:v>нет данных</ns0:v>
      </ns0:c>
      <ns0:c r="G52" s="31" t="str">
        <ns0:f>'рабочий'!F37</ns0:f>
        <ns0:v>нет данных</ns0:v>
      </ns0:c>
      <ns0:c r="H52" s="31" t="str">
        <ns0:f>'рабочий'!G37</ns0:f>
        <ns0:v>нет данных</ns0:v>
      </ns0:c>
      <ns0:c r="I52" s="31" t="str">
        <ns0:f>'рабочий'!H37</ns0:f>
        <ns0:v>нет данных</ns0:v>
      </ns0:c>
      <ns0:c r="J52" s="31" t="str">
        <ns0:f>'рабочий'!I37</ns0:f>
        <ns0:v>нет данных</ns0:v>
      </ns0:c>
      <ns0:c r="K52" s="31" t="str">
        <ns0:f>'рабочий'!J37</ns0:f>
        <ns0:v>нет данных</ns0:v>
      </ns0:c>
      <ns0:c r="L52" s="31" t="str">
        <ns0:f>'рабочий'!K37</ns0:f>
        <ns0:v>нет данных</ns0:v>
      </ns0:c>
      <ns0:c r="M52" s="31" t="str">
        <ns0:f>'рабочий'!L37</ns0:f>
        <ns0:v>нет данных</ns0:v>
      </ns0:c>
      <ns0:c r="N52" s="31">
        <ns0:f>'рабочий'!M37</ns0:f>
        <ns0:v>564.0</ns0:v>
      </ns0:c>
      <ns0:c r="O52" s="32" t="str">
        <ns0:f>'рабочий'!N37</ns0:f>
        <ns0:v>нет данных</ns0:v>
      </ns0:c>
      <ns0:c r="P52" s="32" t="str">
        <ns0:f>'рабочий'!O37</ns0:f>
        <ns0:v>нет данных</ns0:v>
      </ns0:c>
      <ns0:c r="Q52" s="32" t="str">
        <ns0:f>'рабочий'!P37</ns0:f>
        <ns0:v>нет данных</ns0:v>
      </ns0:c>
      <ns0:c r="R52" s="32" t="str">
        <ns0:f>'рабочий'!Q37</ns0:f>
        <ns0:v>нет данных</ns0:v>
      </ns0:c>
      <ns0:c r="S52" s="32" t="str">
        <ns0:f>'рабочий'!R37</ns0:f>
        <ns0:v>нет данных</ns0:v>
      </ns0:c>
      <ns0:c r="T52" s="32" t="str">
        <ns0:f>'рабочий'!S37</ns0:f>
        <ns0:v>нет данных</ns0:v>
      </ns0:c>
      <ns0:c r="U52" s="32" t="str">
        <ns0:f>'рабочий'!T37</ns0:f>
        <ns0:v>нет данных</ns0:v>
      </ns0:c>
      <ns0:c r="V52" s="32" t="str">
        <ns0:f>'рабочий'!U37</ns0:f>
        <ns0:v>нет данных</ns0:v>
      </ns0:c>
      <ns0:c r="W52" s="32" t="str">
        <ns0:f>'рабочий'!V37</ns0:f>
        <ns0:v>нет данных</ns0:v>
      </ns0:c>
      <ns0:c r="X52" s="32" t="str">
        <ns0:f>'рабочий'!W37</ns0:f>
        <ns0:v>нет данных</ns0:v>
      </ns0:c>
      <ns0:c r="Y52" s="32" t="str">
        <ns0:f>'рабочий'!X37</ns0:f>
        <ns0:v>нет данных</ns0:v>
      </ns0:c>
      <ns0:c r="Z52" s="32" t="str">
        <ns0:f>'рабочий'!Y37</ns0:f>
        <ns0:v>нет данных</ns0:v>
      </ns0:c>
      <ns0:c r="AA52" s="32" t="str">
        <ns0:f>'рабочий'!Z37</ns0:f>
        <ns0:v>нет данных</ns0:v>
      </ns0:c>
      <ns0:c r="AB52" s="32" t="str">
        <ns0:f>'рабочий'!AA37</ns0:f>
        <ns0:v>нет данных</ns0:v>
      </ns0:c>
      <ns0:c r="AC52" s="32" t="str">
        <ns0:f>'рабочий'!AB37</ns0:f>
        <ns0:v>нет данных</ns0:v>
      </ns0:c>
      <ns0:c r="AD52" s="32" t="str">
        <ns0:f>'рабочий'!AC37</ns0:f>
        <ns0:v>нет данных</ns0:v>
      </ns0:c>
      <ns0:c r="AE52" s="32" t="str">
        <ns0:f>'рабочий'!AD37</ns0:f>
        <ns0:v>нет данных</ns0:v>
      </ns0:c>
      <ns0:c r="AF52" s="32" t="str">
        <ns0:f>'рабочий'!AE37</ns0:f>
        <ns0:v>нет данных</ns0:v>
      </ns0:c>
      <ns0:c r="AG52" s="32" t="str">
        <ns0:f>'рабочий'!AF37</ns0:f>
        <ns0:v>нет данных</ns0:v>
      </ns0:c>
      <ns0:c r="AH52" s="31" t="n"/>
      <ns0:c r="AI52" s="31" t="inlineStr">
        <ns0:is>
          <ns0:t>не собрано</ns0:t>
        </ns0:is>
      </ns0:c>
      <ns0:c r="AJ52" s="31" t="inlineStr">
        <ns0:is>
          <ns0:t>не собрано</ns0:t>
        </ns0:is>
      </ns0:c>
      <ns0:c r="AK52" s="31" t="inlineStr">
        <ns0:is>
          <ns0:t>не собрано</ns0:t>
        </ns0:is>
      </ns0:c>
      <ns0:c r="AL52" s="31" t="inlineStr">
        <ns0:is>
          <ns0:t>не собрано</ns0:t>
        </ns0:is>
      </ns0:c>
      <ns0:c r="AM52" s="31" t="inlineStr">
        <ns0:is>
          <ns0:t>не собрано</ns0:t>
        </ns0:is>
      </ns0:c>
      <ns0:c r="AN52" s="31" t="inlineStr">
        <ns0:is>
          <ns0:t>не собрано</ns0:t>
        </ns0:is>
      </ns0:c>
      <ns0:c r="AO52" s="31" t="inlineStr">
        <ns0:is>
          <ns0:t>не собрано</ns0:t>
        </ns0:is>
      </ns0:c>
      <ns0:c r="AP52" s="31" t="inlineStr">
        <ns0:is>
          <ns0:t>не собрано</ns0:t>
        </ns0:is>
      </ns0:c>
      <ns0:c r="AQ52" s="31" t="inlineStr">
        <ns0:is>
          <ns0:t>не собрано</ns0:t>
        </ns0:is>
      </ns0:c>
      <ns0:c r="AR52" s="31" t="inlineStr">
        <ns0:is>
          <ns0:t>не собрано</ns0:t>
        </ns0:is>
      </ns0:c>
      <ns0:c r="AS52" s="31" t="inlineStr">
        <ns0:is>
          <ns0:t>не собрано</ns0:t>
        </ns0:is>
      </ns0:c>
      <ns0:c r="AT52" s="31" t="inlineStr">
        <ns0:is>
          <ns0:t>не собрано</ns0:t>
        </ns0:is>
      </ns0:c>
      <ns0:c r="AU52" s="31" t="inlineStr">
        <ns0:is>
          <ns0:t>не собрано</ns0:t>
        </ns0:is>
      </ns0:c>
      <ns0:c r="AV52" s="31" t="inlineStr">
        <ns0:is>
          <ns0:t>не собрано</ns0:t>
        </ns0:is>
      </ns0:c>
      <ns0:c r="AW52" s="31" t="inlineStr">
        <ns0:is>
          <ns0:t>не собрано</ns0:t>
        </ns0:is>
      </ns0:c>
      <ns0:c r="AX52" s="31" t="inlineStr">
        <ns0:is>
          <ns0:t>не собрано</ns0:t>
        </ns0:is>
      </ns0:c>
      <ns0:c r="AY52" s="31" t="inlineStr">
        <ns0:is>
          <ns0:t>не собрано</ns0:t>
        </ns0:is>
      </ns0:c>
      <ns0:c r="AZ52" s="31" t="inlineStr">
        <ns0:is>
          <ns0:t>не собрано</ns0:t>
        </ns0:is>
      </ns0:c>
      <ns0:c r="BA52" s="31" t="inlineStr">
        <ns0:is>
          <ns0:t>не собрано</ns0:t>
        </ns0:is>
      </ns0:c>
      <ns0:c r="BB52" s="31" t="inlineStr">
        <ns0:is>
          <ns0:t>не собрано</ns0:t>
        </ns0:is>
      </ns0:c>
      <ns0:c r="BC52" s="31" t="inlineStr">
        <ns0:is>
          <ns0:t>не собрано</ns0:t>
        </ns0:is>
      </ns0:c>
      <ns0:c r="BD52" s="31" t="inlineStr">
        <ns0:is>
          <ns0:t>не собрано</ns0:t>
        </ns0:is>
      </ns0:c>
      <ns0:c r="BE52" s="31" t="inlineStr">
        <ns0:is>
          <ns0:t>не собрано</ns0:t>
        </ns0:is>
      </ns0:c>
      <ns0:c r="BF52" s="31" t="inlineStr">
        <ns0:is>
          <ns0:t>не собрано</ns0:t>
        </ns0:is>
      </ns0:c>
      <ns0:c r="BG52" s="31" t="inlineStr">
        <ns0:is>
          <ns0:t>не собрано</ns0:t>
        </ns0:is>
      </ns0:c>
      <ns0:c r="BH52" s="31" t="inlineStr">
        <ns0:is>
          <ns0:t>не собрано</ns0:t>
        </ns0:is>
      </ns0:c>
      <ns0:c r="BI52" s="31" t="inlineStr">
        <ns0:is>
          <ns0:t>не собрано</ns0:t>
        </ns0:is>
      </ns0:c>
      <ns0:c r="BJ52" s="31" t="inlineStr">
        <ns0:is>
          <ns0:t>не собрано</ns0:t>
        </ns0:is>
      </ns0:c>
      <ns0:c r="BK52" s="31" t="inlineStr">
        <ns0:is>
          <ns0:t>не собрано</ns0:t>
        </ns0:is>
      </ns0:c>
      <ns0:c r="BL52" s="31" t="inlineStr">
        <ns0:is>
          <ns0:t>не собрано</ns0:t>
        </ns0:is>
      </ns0:c>
    </ns0:row>
    <ns0:row r="53">
      <ns0:c r="A53" s="31" t="n"/>
      <ns0:c r="B53" s="31" t="n"/>
      <ns0:c r="C53" s="31" t="n"/>
      <ns0:c r="D53" s="31" t="n"/>
      <ns0:c r="E53" s="31" t="n"/>
      <ns0:c r="F53" s="31" t="n"/>
      <ns0:c r="G53" s="31" t="n"/>
      <ns0:c r="H53" s="31" t="n"/>
      <ns0:c r="I53" s="31" t="n"/>
      <ns0:c r="J53" s="31" t="n"/>
      <ns0:c r="K53" s="31" t="n"/>
      <ns0:c r="L53" s="31" t="n"/>
      <ns0:c r="M53" s="31" t="n"/>
      <ns0:c r="N53" s="31" t="n"/>
      <ns0:c r="O53" s="31" t="n"/>
      <ns0:c r="P53" s="31" t="n"/>
      <ns0:c r="Q53" s="31" t="n"/>
      <ns0:c r="R53" s="31" t="n"/>
      <ns0:c r="S53" s="31" t="n"/>
      <ns0:c r="T53" s="31" t="n"/>
      <ns0:c r="U53" s="31" t="n"/>
      <ns0:c r="V53" s="31" t="n"/>
      <ns0:c r="W53" s="31" t="n"/>
      <ns0:c r="X53" s="31" t="n"/>
      <ns0:c r="Y53" s="31" t="n"/>
      <ns0:c r="Z53" s="31" t="n"/>
      <ns0:c r="AA53" s="31" t="n"/>
      <ns0:c r="AB53" s="31" t="n"/>
      <ns0:c r="AC53" s="31" t="n"/>
      <ns0:c r="AD53" s="31" t="n"/>
      <ns0:c r="AE53" s="31" t="n"/>
      <ns0:c r="AF53" s="31" t="n"/>
      <ns0:c r="AG53" s="31" t="n"/>
      <ns0:c r="AH53" s="31" t="n"/>
      <ns0:c r="AI53" s="31" t="n"/>
      <ns0:c r="AJ53" s="31" t="n"/>
      <ns0:c r="AK53" s="31" t="n"/>
      <ns0:c r="AL53" s="31" t="n"/>
      <ns0:c r="AM53" s="31" t="n"/>
      <ns0:c r="AN53" s="31" t="n"/>
      <ns0:c r="AO53" s="31" t="n"/>
      <ns0:c r="AP53" s="31" t="n"/>
      <ns0:c r="AQ53" s="31" t="n"/>
      <ns0:c r="AR53" s="31" t="n"/>
      <ns0:c r="AS53" s="31" t="n"/>
      <ns0:c r="AT53" s="31" t="n"/>
      <ns0:c r="AU53" s="31" t="n"/>
      <ns0:c r="AV53" s="31" t="n"/>
      <ns0:c r="AW53" s="31" t="n"/>
      <ns0:c r="AX53" s="31" t="n"/>
      <ns0:c r="AY53" s="31" t="n"/>
      <ns0:c r="AZ53" s="31" t="n"/>
      <ns0:c r="BA53" s="31" t="n"/>
      <ns0:c r="BB53" s="31" t="n"/>
      <ns0:c r="BC53" s="31" t="n"/>
      <ns0:c r="BD53" s="31" t="n"/>
      <ns0:c r="BE53" s="31" t="n"/>
      <ns0:c r="BF53" s="31" t="n"/>
      <ns0:c r="BG53" s="31" t="n"/>
      <ns0:c r="BH53" s="31" t="n"/>
      <ns0:c r="BI53" s="31" t="n"/>
      <ns0:c r="BJ53" s="31" t="n"/>
      <ns0:c r="BK53" s="31" t="n"/>
      <ns0:c r="BL53" s="31" t="n"/>
    </ns0:row>
    <ns0:row r="54">
      <ns0:c r="A54" s="31" t="n"/>
      <ns0:c r="B54" s="31" t="inlineStr">
        <ns0:is>
          <ns0:t>Онлайн-сбор: время проверки каждой строки — на листе «Источники». Старые цены и файлы пользователя не включены.</ns0:t>
        </ns0:is>
      </ns0:c>
      <ns0:c r="C54" s="31" t="n"/>
      <ns0:c r="D54" s="31" t="n"/>
      <ns0:c r="E54" s="31" t="n"/>
      <ns0:c r="F54" s="31" t="n"/>
      <ns0:c r="G54" s="31" t="n"/>
      <ns0:c r="H54" s="31" t="n"/>
      <ns0:c r="I54" s="31" t="n"/>
      <ns0:c r="J54" s="31" t="n"/>
      <ns0:c r="K54" s="31" t="n"/>
      <ns0:c r="L54" s="31" t="n"/>
      <ns0:c r="M54" s="31" t="n"/>
      <ns0:c r="N54" s="31" t="n"/>
      <ns0:c r="O54" s="31" t="n"/>
      <ns0:c r="P54" s="31" t="n"/>
      <ns0:c r="Q54" s="31" t="n"/>
      <ns0:c r="R54" s="31" t="n"/>
      <ns0:c r="S54" s="31" t="n"/>
      <ns0:c r="T54" s="31" t="n"/>
      <ns0:c r="U54" s="31" t="n"/>
      <ns0:c r="V54" s="31" t="n"/>
      <ns0:c r="W54" s="31" t="n"/>
      <ns0:c r="X54" s="31" t="n"/>
      <ns0:c r="Y54" s="31" t="n"/>
      <ns0:c r="Z54" s="31" t="n"/>
      <ns0:c r="AA54" s="31" t="n"/>
      <ns0:c r="AB54" s="31" t="n"/>
      <ns0:c r="AC54" s="31" t="n"/>
      <ns0:c r="AD54" s="31" t="n"/>
      <ns0:c r="AE54" s="31" t="n"/>
      <ns0:c r="AF54" s="31" t="n"/>
      <ns0:c r="AG54" s="31" t="n"/>
      <ns0:c r="AH54" s="31" t="n"/>
      <ns0:c r="AI54" s="31" t="n"/>
      <ns0:c r="AJ54" s="31" t="n"/>
      <ns0:c r="AK54" s="31" t="n"/>
      <ns0:c r="AL54" s="31" t="n"/>
      <ns0:c r="AM54" s="31" t="n"/>
      <ns0:c r="AN54" s="31" t="n"/>
      <ns0:c r="AO54" s="31" t="n"/>
      <ns0:c r="AP54" s="31" t="n"/>
      <ns0:c r="AQ54" s="31" t="n"/>
      <ns0:c r="AR54" s="31" t="n"/>
      <ns0:c r="AS54" s="31" t="n"/>
      <ns0:c r="AT54" s="31" t="n"/>
      <ns0:c r="AU54" s="31" t="n"/>
      <ns0:c r="AV54" s="31" t="n"/>
      <ns0:c r="AW54" s="31" t="n"/>
      <ns0:c r="AX54" s="31" t="n"/>
      <ns0:c r="AY54" s="31" t="n"/>
      <ns0:c r="AZ54" s="31" t="n"/>
      <ns0:c r="BA54" s="31" t="n"/>
      <ns0:c r="BB54" s="31" t="n"/>
      <ns0:c r="BC54" s="31" t="n"/>
      <ns0:c r="BD54" s="31" t="n"/>
      <ns0:c r="BE54" s="31" t="n"/>
      <ns0:c r="BF54" s="31" t="n"/>
      <ns0:c r="BG54" s="31" t="n"/>
      <ns0:c r="BH54" s="31" t="n"/>
      <ns0:c r="BI54" s="31" t="n"/>
      <ns0:c r="BJ54" s="31" t="n"/>
      <ns0:c r="BK54" s="31" t="n"/>
      <ns0:c r="BL54" s="31" t="n"/>
    </ns0:row>
    <ns0:row r="55">
      <ns0:c r="A55" s="31" t="n"/>
      <ns0:c r="B55" s="31" t="inlineStr">
        <ns0:is>
          <ns0:t>Для смены маршрута выберите пару на листе «Направления» и измените B16 и F16.</ns0:t>
        </ns0:is>
      </ns0:c>
      <ns0:c r="C55" s="31" t="n"/>
      <ns0:c r="D55" s="31" t="n"/>
      <ns0:c r="E55" s="31" t="n"/>
      <ns0:c r="F55" s="31" t="n"/>
      <ns0:c r="G55" s="31" t="n"/>
      <ns0:c r="H55" s="31" t="n"/>
      <ns0:c r="I55" s="31" t="n"/>
      <ns0:c r="J55" s="31" t="n"/>
      <ns0:c r="K55" s="31" t="n"/>
      <ns0:c r="L55" s="31" t="n"/>
      <ns0:c r="M55" s="31" t="n"/>
      <ns0:c r="N55" s="31" t="n"/>
      <ns0:c r="O55" s="31" t="n"/>
      <ns0:c r="P55" s="31" t="n"/>
      <ns0:c r="Q55" s="31" t="n"/>
      <ns0:c r="R55" s="31" t="n"/>
      <ns0:c r="S55" s="31" t="n"/>
      <ns0:c r="T55" s="31" t="n"/>
      <ns0:c r="U55" s="31" t="n"/>
      <ns0:c r="V55" s="31" t="n"/>
      <ns0:c r="W55" s="31" t="n"/>
      <ns0:c r="X55" s="31" t="n"/>
      <ns0:c r="Y55" s="31" t="n"/>
      <ns0:c r="Z55" s="31" t="n"/>
      <ns0:c r="AA55" s="31" t="n"/>
      <ns0:c r="AB55" s="31" t="n"/>
      <ns0:c r="AC55" s="31" t="n"/>
      <ns0:c r="AD55" s="31" t="n"/>
      <ns0:c r="AE55" s="31" t="n"/>
      <ns0:c r="AF55" s="31" t="n"/>
      <ns0:c r="AG55" s="31" t="n"/>
      <ns0:c r="AH55" s="31" t="n"/>
      <ns0:c r="AI55" s="31" t="n"/>
      <ns0:c r="AJ55" s="31" t="n"/>
      <ns0:c r="AK55" s="31" t="n"/>
      <ns0:c r="AL55" s="31" t="n"/>
      <ns0:c r="AM55" s="31" t="n"/>
      <ns0:c r="AN55" s="31" t="n"/>
      <ns0:c r="AO55" s="31" t="n"/>
      <ns0:c r="AP55" s="31" t="n"/>
      <ns0:c r="AQ55" s="31" t="n"/>
      <ns0:c r="AR55" s="31" t="n"/>
      <ns0:c r="AS55" s="31" t="n"/>
      <ns0:c r="AT55" s="31" t="n"/>
      <ns0:c r="AU55" s="31" t="n"/>
      <ns0:c r="AV55" s="31" t="n"/>
      <ns0:c r="AW55" s="31" t="n"/>
      <ns0:c r="AX55" s="31" t="n"/>
      <ns0:c r="AY55" s="31" t="n"/>
      <ns0:c r="AZ55" s="31" t="n"/>
      <ns0:c r="BA55" s="31" t="n"/>
      <ns0:c r="BB55" s="31" t="n"/>
      <ns0:c r="BC55" s="31" t="n"/>
      <ns0:c r="BD55" s="31" t="n"/>
      <ns0:c r="BE55" s="31" t="n"/>
      <ns0:c r="BF55" s="31" t="n"/>
      <ns0:c r="BG55" s="31" t="n"/>
      <ns0:c r="BH55" s="31" t="n"/>
      <ns0:c r="BI55" s="31" t="n"/>
      <ns0:c r="BJ55" s="31" t="n"/>
      <ns0:c r="BK55" s="31" t="n"/>
      <ns0:c r="BL55" s="31" t="n"/>
    </ns0:row>
    <ns0:row r="56">
      <ns0:c r="A56" s="31" t="n"/>
      <ns0:c r="B56" s="31" t="inlineStr">
        <ns0:is>
          <ns0:t>Для новых цен запустите «Все компании и маршруты» в приложении. Сохранённый Excel сам сайты не опрашивает.</ns0:t>
        </ns0:is>
      </ns0:c>
      <ns0:c r="C56" s="31" t="n"/>
      <ns0:c r="D56" s="31" t="n"/>
      <ns0:c r="E56" s="31" t="n"/>
      <ns0:c r="F56" s="31" t="n"/>
      <ns0:c r="G56" s="31" t="n"/>
      <ns0:c r="H56" s="31" t="n"/>
      <ns0:c r="I56" s="31" t="n"/>
      <ns0:c r="J56" s="31" t="n"/>
      <ns0:c r="K56" s="31" t="n"/>
      <ns0:c r="L56" s="31" t="n"/>
      <ns0:c r="M56" s="31" t="n"/>
      <ns0:c r="N56" s="31" t="n"/>
      <ns0:c r="O56" s="31" t="n"/>
      <ns0:c r="P56" s="31" t="n"/>
      <ns0:c r="Q56" s="31" t="n"/>
      <ns0:c r="R56" s="31" t="n"/>
      <ns0:c r="S56" s="31" t="n"/>
      <ns0:c r="T56" s="31" t="n"/>
      <ns0:c r="U56" s="31" t="n"/>
      <ns0:c r="V56" s="31" t="n"/>
      <ns0:c r="W56" s="31" t="n"/>
      <ns0:c r="X56" s="31" t="n"/>
      <ns0:c r="Y56" s="31" t="n"/>
      <ns0:c r="Z56" s="31" t="n"/>
      <ns0:c r="AA56" s="31" t="n"/>
      <ns0:c r="AB56" s="31" t="n"/>
      <ns0:c r="AC56" s="31" t="n"/>
      <ns0:c r="AD56" s="31" t="n"/>
      <ns0:c r="AE56" s="31" t="n"/>
      <ns0:c r="AF56" s="31" t="n"/>
      <ns0:c r="AG56" s="31" t="n"/>
      <ns0:c r="AH56" s="31" t="n"/>
      <ns0:c r="AI56" s="31" t="n"/>
      <ns0:c r="AJ56" s="31" t="n"/>
      <ns0:c r="AK56" s="31" t="n"/>
      <ns0:c r="AL56" s="31" t="n"/>
      <ns0:c r="AM56" s="31" t="n"/>
      <ns0:c r="AN56" s="31" t="n"/>
      <ns0:c r="AO56" s="31" t="n"/>
      <ns0:c r="AP56" s="31" t="n"/>
      <ns0:c r="AQ56" s="31" t="n"/>
      <ns0:c r="AR56" s="31" t="n"/>
      <ns0:c r="AS56" s="31" t="n"/>
      <ns0:c r="AT56" s="31" t="n"/>
      <ns0:c r="AU56" s="31" t="n"/>
      <ns0:c r="AV56" s="31" t="n"/>
      <ns0:c r="AW56" s="31" t="n"/>
      <ns0:c r="AX56" s="31" t="n"/>
      <ns0:c r="AY56" s="31" t="n"/>
      <ns0:c r="AZ56" s="31" t="n"/>
      <ns0:c r="BA56" s="31" t="n"/>
      <ns0:c r="BB56" s="31" t="n"/>
      <ns0:c r="BC56" s="31" t="n"/>
      <ns0:c r="BD56" s="31" t="n"/>
      <ns0:c r="BE56" s="31" t="n"/>
      <ns0:c r="BF56" s="31" t="n"/>
      <ns0:c r="BG56" s="31" t="n"/>
      <ns0:c r="BH56" s="31" t="n"/>
      <ns0:c r="BI56" s="31" t="n"/>
      <ns0:c r="BJ56" s="31" t="n"/>
      <ns0:c r="BK56" s="31" t="n"/>
      <ns0:c r="BL56" s="31" t="n"/>
    </ns0:row>
  </ns0:sheetData>
  <ns0:mergeCells count="3">
    <ns0:mergeCell ref="F16:K16"/>
    <ns0:mergeCell ref="B16:C16"/>
    <ns0:mergeCell ref="E1:F1"/>
  </ns0:mergeCells>
  <ns0:dataValidations count="2">
    <ns0:dataValidation sqref="B16" showDropDown="0" showInputMessage="0" showErrorMessage="0" allowBlank="0" type="list">
      <ns0:formula1>'Направления'!$C$2:$C$2</ns0:formula1>
    </ns0:dataValidation>
    <ns0:dataValidation sqref="F16" showDropDown="0" showInputMessage="0" showErrorMessage="0" allowBlank="0" type="list">
      <ns0:formula1>'Направления'!$D$2:$D$2</ns0:formula1>
    </ns0:dataValidation>
  </ns0:dataValidations>
  <ns0:pageMargins left="0.7" right="0.7" top="0.75" bottom="0.75" header="0.3" footer="0.3"/>
  <ns0:pageSetup orientation="landscape" paperSize="8" fitToHeight="0" fitToWidth="1"/>
  <ns0:drawing ns1:id="rId1"/>
</ns0:worksheet>
</file>

<file path=xl/worksheets/sheet9.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WernerNEW</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6" t="inlineStr">
        <is>
          <t>до 500</t>
        </is>
      </c>
      <c r="T1" s="29" t="inlineStr">
        <is>
          <t>до 600</t>
        </is>
      </c>
      <c r="U1" s="29" t="inlineStr">
        <is>
          <t>до 700</t>
        </is>
      </c>
      <c r="V1" s="29" t="inlineStr">
        <is>
          <t>до 750</t>
        </is>
      </c>
      <c r="W1" s="29" t="inlineStr">
        <is>
          <t>до 800</t>
        </is>
      </c>
      <c r="X1" s="6" t="inlineStr">
        <is>
          <t>до 1000</t>
        </is>
      </c>
      <c r="Y1" s="29" t="inlineStr">
        <is>
          <t>до 1200</t>
        </is>
      </c>
      <c r="Z1" s="29" t="inlineStr">
        <is>
          <t>до 1500</t>
        </is>
      </c>
      <c r="AA1" s="6" t="inlineStr">
        <is>
          <t>до 2000</t>
        </is>
      </c>
      <c r="AB1" s="29" t="inlineStr">
        <is>
          <t>до 2500</t>
        </is>
      </c>
      <c r="AC1" s="6" t="inlineStr">
        <is>
          <t>до 3000</t>
        </is>
      </c>
      <c r="AD1" s="29" t="inlineStr">
        <is>
          <t>до 5000</t>
        </is>
      </c>
      <c r="AE1" s="29" t="inlineStr">
        <is>
          <t>до 10000</t>
        </is>
      </c>
      <c r="AF1" s="6"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246</v>
      </c>
      <c r="E2" s="1" t="n">
        <v>246</v>
      </c>
      <c r="F2" s="1" t="n">
        <v>246</v>
      </c>
      <c r="G2" s="1" t="n">
        <v>453</v>
      </c>
      <c r="H2" s="1" t="n">
        <v>453</v>
      </c>
      <c r="I2" s="1" t="n">
        <v>453</v>
      </c>
      <c r="J2" s="1" t="n">
        <v>510</v>
      </c>
      <c r="K2" s="1" t="n">
        <v>570</v>
      </c>
      <c r="L2" s="1" t="n">
        <v>700</v>
      </c>
      <c r="M2" s="1" t="n">
        <v>246</v>
      </c>
      <c r="N2" s="33" t="n">
        <v>14</v>
      </c>
      <c r="O2" s="33" t="n">
        <v>13.25</v>
      </c>
      <c r="P2" s="33" t="n">
        <v>13.148</v>
      </c>
      <c r="Q2" s="33" t="n">
        <v>13.0833</v>
      </c>
      <c r="R2" s="33" t="n">
        <v>13</v>
      </c>
      <c r="S2" s="33" t="n">
        <v>12.95</v>
      </c>
      <c r="T2" s="33" t="n">
        <v>12.54</v>
      </c>
      <c r="U2" s="33" t="n">
        <v>12.5186</v>
      </c>
      <c r="V2" s="33" t="n">
        <v>12.508</v>
      </c>
      <c r="W2" s="33" t="n">
        <v>12.5</v>
      </c>
      <c r="X2" s="33" t="n">
        <v>11.851</v>
      </c>
      <c r="Y2" s="33" t="n">
        <v>11.8333</v>
      </c>
      <c r="Z2" s="33" t="n">
        <v>11.816</v>
      </c>
      <c r="AA2" s="33" t="n">
        <v>11.1745</v>
      </c>
      <c r="AB2" s="33" t="n">
        <v>11.1652</v>
      </c>
      <c r="AC2" s="33" t="n">
        <v>11.0333</v>
      </c>
      <c r="AD2" s="33" t="n">
        <v>11.0198</v>
      </c>
      <c r="AE2" s="33" t="n">
        <v>11.0097</v>
      </c>
      <c r="AF2" s="33" t="n">
        <v>11.0051</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BK3"/>
  <sheetViews>
    <sheetView showGridLines="0" workbookViewId="0">
      <selection activeCell="A1" sqref="A1"/>
    </sheetView>
  </sheetViews>
  <sheetFormatPr baseColWidth="8" defaultRowHeight="15"/>
  <cols>
    <col width="22" customWidth="1" min="1" max="1"/>
    <col width="22"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 t="n"/>
      <c r="B1" s="6" t="inlineStr">
        <is>
          <t>№</t>
        </is>
      </c>
      <c r="C1" s="6" t="inlineStr">
        <is>
          <t>Из</t>
        </is>
      </c>
      <c r="D1" s="6" t="inlineStr">
        <is>
          <t>В</t>
        </is>
      </c>
      <c r="E1" s="6" t="inlineStr">
        <is>
          <t>ГП</t>
        </is>
      </c>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row>
    <row r="2">
      <c r="A2" s="1" t="n"/>
      <c r="B2" s="1" t="n">
        <v>1</v>
      </c>
      <c r="C2" s="1" t="inlineStr">
        <is>
          <t>Москва</t>
        </is>
      </c>
      <c r="D2" s="1" t="inlineStr">
        <is>
          <t>Санкт-Петербург</t>
        </is>
      </c>
      <c r="E2" s="1" t="inlineStr">
        <is>
          <t>Общий онлайн-сбор</t>
        </is>
      </c>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sheetData>
  <pageMargins left="0.7" right="0.7" top="0.75" bottom="0.75" header="0.3" footer="0.3"/>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ДЛ</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ПЭК</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КИТ</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680</v>
      </c>
      <c r="E2" s="1" t="n">
        <v>800</v>
      </c>
      <c r="F2" s="1" t="n">
        <v>800</v>
      </c>
      <c r="G2" s="1" t="n">
        <v>920</v>
      </c>
      <c r="H2" s="1" t="n">
        <v>920</v>
      </c>
      <c r="I2" s="1" t="n">
        <v>1000</v>
      </c>
      <c r="J2" s="1" t="n">
        <v>1000</v>
      </c>
      <c r="K2" s="1" t="n">
        <v>732</v>
      </c>
      <c r="L2" s="1" t="n">
        <v>915</v>
      </c>
      <c r="M2" s="1" t="n">
        <v>680</v>
      </c>
      <c r="N2" s="33" t="n">
        <v>18.2</v>
      </c>
      <c r="O2" s="33" t="n">
        <v>18</v>
      </c>
      <c r="P2" s="33" t="n">
        <v>17.7</v>
      </c>
      <c r="Q2" s="33" t="n">
        <v>17.7</v>
      </c>
      <c r="R2" s="33" t="n">
        <v>17.7</v>
      </c>
      <c r="S2" s="33" t="n">
        <v>17.5</v>
      </c>
      <c r="T2" s="33" t="n">
        <v>17.5</v>
      </c>
      <c r="U2" s="33" t="n">
        <v>17.5</v>
      </c>
      <c r="V2" s="33" t="n">
        <v>17.5</v>
      </c>
      <c r="W2" s="33" t="n">
        <v>17.5</v>
      </c>
      <c r="X2" s="33" t="n">
        <v>17.1</v>
      </c>
      <c r="Y2" s="33" t="n">
        <v>17.1</v>
      </c>
      <c r="Z2" s="33" t="n">
        <v>16.8</v>
      </c>
      <c r="AA2" s="33" t="n">
        <v>16.7</v>
      </c>
      <c r="AB2" s="33" t="n">
        <v>16.7</v>
      </c>
      <c r="AC2" s="33" t="n">
        <v>16.7</v>
      </c>
      <c r="AD2" s="33" t="n">
        <v>16.7</v>
      </c>
      <c r="AE2" s="33" t="n">
        <v>16.7</v>
      </c>
      <c r="AF2" s="33" t="n">
        <v>16.7</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Возовоз</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n">
        <v>1980</v>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Мейджик</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500</v>
      </c>
      <c r="E2" s="1" t="n">
        <v>600</v>
      </c>
      <c r="F2" s="1" t="n">
        <v>600</v>
      </c>
      <c r="G2" s="1" t="n">
        <v>700</v>
      </c>
      <c r="H2" s="1" t="n">
        <v>700</v>
      </c>
      <c r="I2" s="1" t="n">
        <v>700</v>
      </c>
      <c r="J2" s="1" t="n">
        <v>700</v>
      </c>
      <c r="K2" s="1" t="n">
        <v>700</v>
      </c>
      <c r="L2" s="1" t="n">
        <v>745</v>
      </c>
      <c r="M2" s="1" t="n">
        <v>500</v>
      </c>
      <c r="N2" s="33" t="n">
        <v>14.9</v>
      </c>
      <c r="O2" s="33" t="n">
        <v>14.9</v>
      </c>
      <c r="P2" s="33" t="n">
        <v>14.9</v>
      </c>
      <c r="Q2" s="33" t="n">
        <v>14.2</v>
      </c>
      <c r="R2" s="33" t="n">
        <v>14.2</v>
      </c>
      <c r="S2" s="33" t="n">
        <v>14.2</v>
      </c>
      <c r="T2" s="33" t="n">
        <v>14.2</v>
      </c>
      <c r="U2" s="33" t="n">
        <v>14.2</v>
      </c>
      <c r="V2" s="33" t="n">
        <v>14.2</v>
      </c>
      <c r="W2" s="33" t="n">
        <v>14</v>
      </c>
      <c r="X2" s="33" t="n">
        <v>14</v>
      </c>
      <c r="Y2" s="33" t="n">
        <v>14</v>
      </c>
      <c r="Z2" s="33" t="n">
        <v>13.6</v>
      </c>
      <c r="AA2" s="33" t="n">
        <v>13.6</v>
      </c>
      <c r="AB2" s="33" t="n">
        <v>13.6</v>
      </c>
      <c r="AC2" s="33" t="n">
        <v>13.2</v>
      </c>
      <c r="AD2" s="33" t="n">
        <v>13.2</v>
      </c>
      <c r="AE2" s="33" t="n">
        <v>13</v>
      </c>
      <c r="AF2" s="33" t="n">
        <v>12.5</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Главтрасса</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390</v>
      </c>
      <c r="E2" s="1" t="n">
        <v>390</v>
      </c>
      <c r="F2" s="1" t="n">
        <v>390</v>
      </c>
      <c r="G2" s="1" t="n">
        <v>400</v>
      </c>
      <c r="H2" s="1" t="n">
        <v>400</v>
      </c>
      <c r="I2" s="1" t="n">
        <v>400</v>
      </c>
      <c r="J2" s="1" t="n">
        <v>456</v>
      </c>
      <c r="K2" s="1" t="n">
        <v>550</v>
      </c>
      <c r="L2" s="1" t="n">
        <v>688</v>
      </c>
      <c r="M2" s="1" t="n">
        <v>390</v>
      </c>
      <c r="N2" s="33" t="n">
        <v>13.75</v>
      </c>
      <c r="O2" s="33" t="n">
        <v>13.25</v>
      </c>
      <c r="P2" s="33" t="n">
        <v>13.248</v>
      </c>
      <c r="Q2" s="33" t="n">
        <v>13.25</v>
      </c>
      <c r="R2" s="33" t="n">
        <v>13.25</v>
      </c>
      <c r="S2" s="33" t="n">
        <v>13.25</v>
      </c>
      <c r="T2" s="33" t="n">
        <v>12.9983</v>
      </c>
      <c r="U2" s="33" t="n">
        <v>13</v>
      </c>
      <c r="V2" s="33" t="n">
        <v>13</v>
      </c>
      <c r="W2" s="33" t="n">
        <v>13</v>
      </c>
      <c r="X2" s="33" t="n">
        <v>15.626</v>
      </c>
      <c r="Y2" s="33" t="n">
        <v>15.6242</v>
      </c>
      <c r="Z2" s="33" t="n">
        <v>15.624</v>
      </c>
      <c r="AA2" s="33" t="n">
        <v>14.9995</v>
      </c>
      <c r="AB2" s="33" t="n">
        <v>15</v>
      </c>
      <c r="AC2" s="33" t="n">
        <v>14.3747</v>
      </c>
      <c r="AD2" s="33" t="n">
        <v>14.3748</v>
      </c>
      <c r="AE2" s="33" t="n">
        <v>14.3746</v>
      </c>
      <c r="AF2" s="33" t="n">
        <v>14.3751</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Пролайн</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550</v>
      </c>
      <c r="E2" s="1" t="n">
        <v>550</v>
      </c>
      <c r="F2" s="1" t="n">
        <v>550</v>
      </c>
      <c r="G2" s="1" t="n">
        <v>550</v>
      </c>
      <c r="H2" s="1" t="n">
        <v>550</v>
      </c>
      <c r="I2" s="1" t="n">
        <v>550</v>
      </c>
      <c r="J2" s="1" t="n">
        <v>550</v>
      </c>
      <c r="K2" s="1" t="n">
        <v>560</v>
      </c>
      <c r="L2" s="1" t="n">
        <v>700</v>
      </c>
      <c r="M2" s="1" t="n">
        <v>550</v>
      </c>
      <c r="N2" s="33" t="n">
        <v>14</v>
      </c>
      <c r="O2" s="33" t="n">
        <v>13.9</v>
      </c>
      <c r="P2" s="33" t="n">
        <v>13.9</v>
      </c>
      <c r="Q2" s="33" t="n">
        <v>13.9</v>
      </c>
      <c r="R2" s="33" t="n">
        <v>13.7</v>
      </c>
      <c r="S2" s="33" t="n">
        <v>13.7</v>
      </c>
      <c r="T2" s="33" t="n">
        <v>13.6</v>
      </c>
      <c r="U2" s="33" t="n">
        <v>13.6</v>
      </c>
      <c r="V2" s="33" t="n">
        <v>13.4</v>
      </c>
      <c r="W2" s="33" t="n">
        <v>13.4</v>
      </c>
      <c r="X2" s="33" t="n">
        <v>13.4</v>
      </c>
      <c r="Y2" s="33" t="n">
        <v>13.2</v>
      </c>
      <c r="Z2" s="33" t="n">
        <v>13.2</v>
      </c>
      <c r="AA2" s="33" t="n">
        <v>13</v>
      </c>
      <c r="AB2" s="33" t="n">
        <v>12.1</v>
      </c>
      <c r="AC2" s="33" t="n">
        <v>12.1</v>
      </c>
      <c r="AD2" s="33" t="n">
        <v>12</v>
      </c>
      <c r="AE2" s="33" t="n">
        <v>12</v>
      </c>
      <c r="AF2" s="33" t="n">
        <v>12</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Фортуна</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580</v>
      </c>
      <c r="E2" s="1" t="n">
        <v>580</v>
      </c>
      <c r="F2" s="1" t="n">
        <v>580</v>
      </c>
      <c r="G2" s="1" t="n">
        <v>580</v>
      </c>
      <c r="H2" s="1" t="n">
        <v>580</v>
      </c>
      <c r="I2" s="1" t="n">
        <v>710</v>
      </c>
      <c r="J2" s="1" t="n">
        <v>710</v>
      </c>
      <c r="K2" s="1" t="n">
        <v>710</v>
      </c>
      <c r="L2" s="1" t="n">
        <v>710</v>
      </c>
      <c r="M2" s="1" t="n">
        <v>580</v>
      </c>
      <c r="N2" s="33" t="n">
        <v>13.9</v>
      </c>
      <c r="O2" s="33" t="n">
        <v>13.4</v>
      </c>
      <c r="P2" s="33" t="n">
        <v>13.4</v>
      </c>
      <c r="Q2" s="33" t="n">
        <v>13.4</v>
      </c>
      <c r="R2" s="33" t="n">
        <v>13.4</v>
      </c>
      <c r="S2" s="33" t="n">
        <v>13.2</v>
      </c>
      <c r="T2" s="33" t="n">
        <v>13.2</v>
      </c>
      <c r="U2" s="33" t="n">
        <v>13.2</v>
      </c>
      <c r="V2" s="33" t="n">
        <v>13.2</v>
      </c>
      <c r="W2" s="33" t="n">
        <v>13.2</v>
      </c>
      <c r="X2" s="33" t="n">
        <v>13.1</v>
      </c>
      <c r="Y2" s="33" t="n">
        <v>13.1</v>
      </c>
      <c r="Z2" s="33" t="n">
        <v>13</v>
      </c>
      <c r="AA2" s="33" t="n">
        <v>12.4</v>
      </c>
      <c r="AB2" s="33" t="n">
        <v>12.4</v>
      </c>
      <c r="AC2" s="33" t="n">
        <v>12.1</v>
      </c>
      <c r="AD2" s="33" t="n">
        <v>12.1</v>
      </c>
      <c r="AE2" s="33" t="n">
        <v>12.1</v>
      </c>
      <c r="AF2" s="33" t="n">
        <v>12.1</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Грузопоток</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ФастТранс</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720</v>
      </c>
      <c r="E2" s="1" t="n">
        <v>720</v>
      </c>
      <c r="F2" s="1" t="n">
        <v>720</v>
      </c>
      <c r="G2" s="1" t="n">
        <v>750</v>
      </c>
      <c r="H2" s="1" t="n">
        <v>750</v>
      </c>
      <c r="I2" s="1" t="n">
        <v>750</v>
      </c>
      <c r="J2" s="1" t="n">
        <v>850</v>
      </c>
      <c r="K2" s="1" t="n">
        <v>850</v>
      </c>
      <c r="L2" s="1" t="n">
        <v>740</v>
      </c>
      <c r="M2" s="1" t="n">
        <v>720</v>
      </c>
      <c r="N2" s="33" t="n">
        <v>14.7</v>
      </c>
      <c r="O2" s="33" t="n">
        <v>14.6</v>
      </c>
      <c r="P2" s="33" t="n">
        <v>14.5</v>
      </c>
      <c r="Q2" s="33" t="n">
        <v>14.5</v>
      </c>
      <c r="R2" s="33" t="n">
        <v>14.1</v>
      </c>
      <c r="S2" s="33" t="n">
        <v>14.1</v>
      </c>
      <c r="T2" s="33" t="n">
        <v>14</v>
      </c>
      <c r="U2" s="33" t="n">
        <v>14</v>
      </c>
      <c r="V2" s="33" t="n">
        <v>13.9</v>
      </c>
      <c r="W2" s="33" t="n">
        <v>13.9</v>
      </c>
      <c r="X2" s="33" t="n">
        <v>13.9</v>
      </c>
      <c r="Y2" s="33" t="n">
        <v>13.8</v>
      </c>
      <c r="Z2" s="33" t="n">
        <v>13.8</v>
      </c>
      <c r="AA2" s="33" t="n">
        <v>13.5</v>
      </c>
      <c r="AB2" s="33" t="n">
        <v>13.4</v>
      </c>
      <c r="AC2" s="33" t="n">
        <v>13.4</v>
      </c>
      <c r="AD2" s="33" t="n">
        <v>13</v>
      </c>
      <c r="AE2" s="33" t="n">
        <v>12.8</v>
      </c>
      <c r="AF2" s="33" t="n">
        <v>12.8</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1.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РейлКонтинент</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990</v>
      </c>
      <c r="E2" s="1" t="n">
        <v>990</v>
      </c>
      <c r="F2" s="1" t="n">
        <v>990</v>
      </c>
      <c r="G2" s="1" t="n">
        <v>990</v>
      </c>
      <c r="H2" s="1" t="n">
        <v>990</v>
      </c>
      <c r="I2" s="1" t="n">
        <v>990</v>
      </c>
      <c r="J2" s="1" t="n">
        <v>990</v>
      </c>
      <c r="K2" s="1" t="n">
        <v>990</v>
      </c>
      <c r="L2" s="1" t="n">
        <v>990</v>
      </c>
      <c r="M2" s="1" t="n">
        <v>990</v>
      </c>
      <c r="N2" s="33" t="n">
        <v>18.3</v>
      </c>
      <c r="O2" s="33" t="n">
        <v>18.3</v>
      </c>
      <c r="P2" s="33" t="n">
        <v>18.3</v>
      </c>
      <c r="Q2" s="33" t="n">
        <v>17.9</v>
      </c>
      <c r="R2" s="33" t="n">
        <v>17.9</v>
      </c>
      <c r="S2" s="33" t="n">
        <v>17.5</v>
      </c>
      <c r="T2" s="33" t="n">
        <v>17.5</v>
      </c>
      <c r="U2" s="33" t="n">
        <v>17.5</v>
      </c>
      <c r="V2" s="33" t="n">
        <v>17.5</v>
      </c>
      <c r="W2" s="33" t="n">
        <v>17.5</v>
      </c>
      <c r="X2" s="33" t="n">
        <v>17.1</v>
      </c>
      <c r="Y2" s="33" t="n">
        <v>17.1</v>
      </c>
      <c r="Z2" s="33" t="n">
        <v>17.1</v>
      </c>
      <c r="AA2" s="33" t="n">
        <v>16.7</v>
      </c>
      <c r="AB2" s="33" t="n">
        <v>16.7</v>
      </c>
      <c r="AC2" s="33" t="n">
        <v>16.5</v>
      </c>
      <c r="AD2" s="33" t="n">
        <v>16.3</v>
      </c>
      <c r="AE2" s="33" t="n">
        <v>15.9</v>
      </c>
      <c r="AF2" s="33" t="n">
        <v>15.5</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АТЭК</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490</v>
      </c>
      <c r="E2" s="1" t="n">
        <v>490</v>
      </c>
      <c r="F2" s="1" t="n">
        <v>490</v>
      </c>
      <c r="G2" s="1" t="n">
        <v>490</v>
      </c>
      <c r="H2" s="1" t="n">
        <v>490</v>
      </c>
      <c r="I2" s="1" t="n">
        <v>490</v>
      </c>
      <c r="J2" s="1" t="n">
        <v>675</v>
      </c>
      <c r="K2" s="1" t="n">
        <v>675</v>
      </c>
      <c r="L2" s="1" t="n">
        <v>675</v>
      </c>
      <c r="M2" s="1" t="n">
        <v>490</v>
      </c>
      <c r="N2" s="33" t="n">
        <v>13.5</v>
      </c>
      <c r="O2" s="33" t="n">
        <v>13.5</v>
      </c>
      <c r="P2" s="33" t="n">
        <v>13.5</v>
      </c>
      <c r="Q2" s="33" t="n">
        <v>13.1</v>
      </c>
      <c r="R2" s="33" t="n">
        <v>13.1</v>
      </c>
      <c r="S2" s="33" t="n">
        <v>13.1</v>
      </c>
      <c r="T2" s="33" t="n">
        <v>13.1</v>
      </c>
      <c r="U2" s="33" t="n">
        <v>13.1</v>
      </c>
      <c r="V2" s="33" t="n">
        <v>13.1</v>
      </c>
      <c r="W2" s="33" t="n">
        <v>13.1</v>
      </c>
      <c r="X2" s="33" t="n">
        <v>13.1</v>
      </c>
      <c r="Y2" s="33" t="n">
        <v>11.5</v>
      </c>
      <c r="Z2" s="33" t="n">
        <v>11.5</v>
      </c>
      <c r="AA2" s="33" t="n">
        <v>11.5</v>
      </c>
      <c r="AB2" s="33" t="n">
        <v>11.5</v>
      </c>
      <c r="AC2" s="33" t="n">
        <v>11.5</v>
      </c>
      <c r="AD2" s="33" t="n">
        <v>10.8</v>
      </c>
      <c r="AE2" s="33" t="n">
        <v>10.8</v>
      </c>
      <c r="AF2" s="33" t="n">
        <v>10.8</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НоваяЛиния</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600</v>
      </c>
      <c r="E2" s="1" t="n">
        <v>600</v>
      </c>
      <c r="F2" s="1" t="n">
        <v>600</v>
      </c>
      <c r="G2" s="1" t="n">
        <v>600</v>
      </c>
      <c r="H2" s="1" t="n">
        <v>600</v>
      </c>
      <c r="I2" s="1" t="n">
        <v>600</v>
      </c>
      <c r="J2" s="1" t="n">
        <v>600</v>
      </c>
      <c r="K2" s="1" t="n">
        <v>600</v>
      </c>
      <c r="L2" s="1" t="n">
        <v>705</v>
      </c>
      <c r="M2" s="1" t="n">
        <v>600</v>
      </c>
      <c r="N2" s="33" t="n">
        <v>14.1</v>
      </c>
      <c r="O2" s="33" t="n">
        <v>14.1</v>
      </c>
      <c r="P2" s="33" t="n">
        <v>14.1</v>
      </c>
      <c r="Q2" s="33" t="n">
        <v>13.5</v>
      </c>
      <c r="R2" s="33" t="n">
        <v>13.5</v>
      </c>
      <c r="S2" s="33" t="n">
        <v>13.5</v>
      </c>
      <c r="T2" s="33" t="n">
        <v>13.5</v>
      </c>
      <c r="U2" s="33" t="n">
        <v>13.5</v>
      </c>
      <c r="V2" s="33" t="n">
        <v>13.5</v>
      </c>
      <c r="W2" s="33" t="n">
        <v>13.3</v>
      </c>
      <c r="X2" s="33" t="n">
        <v>13.3</v>
      </c>
      <c r="Y2" s="33" t="n">
        <v>13.3</v>
      </c>
      <c r="Z2" s="33" t="n">
        <v>12.9</v>
      </c>
      <c r="AA2" s="33" t="n">
        <v>12.9</v>
      </c>
      <c r="AB2" s="33" t="n">
        <v>12.9</v>
      </c>
      <c r="AC2" s="33" t="n">
        <v>12.6</v>
      </c>
      <c r="AD2" s="33" t="n">
        <v>12.6</v>
      </c>
      <c r="AE2" s="1" t="inlineStr">
        <is>
          <t>по запросу</t>
        </is>
      </c>
      <c r="AF2" s="1" t="inlineStr">
        <is>
          <t>по запросу</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БСК</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450</v>
      </c>
      <c r="E2" s="1" t="n">
        <v>450</v>
      </c>
      <c r="F2" s="1" t="n">
        <v>450</v>
      </c>
      <c r="G2" s="1" t="n">
        <v>450</v>
      </c>
      <c r="H2" s="1" t="n">
        <v>450</v>
      </c>
      <c r="I2" s="1" t="n">
        <v>450</v>
      </c>
      <c r="J2" s="1" t="n">
        <v>450</v>
      </c>
      <c r="K2" s="1" t="n">
        <v>480</v>
      </c>
      <c r="L2" s="1" t="n">
        <v>600</v>
      </c>
      <c r="M2" s="1" t="n">
        <v>450</v>
      </c>
      <c r="N2" s="33" t="n">
        <v>12</v>
      </c>
      <c r="O2" s="33" t="n">
        <v>12</v>
      </c>
      <c r="P2" s="33" t="n">
        <v>12</v>
      </c>
      <c r="Q2" s="33" t="n">
        <v>12</v>
      </c>
      <c r="R2" s="33" t="n">
        <v>12</v>
      </c>
      <c r="S2" s="33" t="n">
        <v>12</v>
      </c>
      <c r="T2" s="33" t="n">
        <v>11.5</v>
      </c>
      <c r="U2" s="33" t="n">
        <v>11.5</v>
      </c>
      <c r="V2" s="33" t="n">
        <v>11.5</v>
      </c>
      <c r="W2" s="33" t="n">
        <v>11.5</v>
      </c>
      <c r="X2" s="33" t="n">
        <v>11.5</v>
      </c>
      <c r="Y2" s="33" t="n">
        <v>11</v>
      </c>
      <c r="Z2" s="33" t="n">
        <v>11</v>
      </c>
      <c r="AA2" s="33" t="n">
        <v>10.5</v>
      </c>
      <c r="AB2" s="33" t="n">
        <v>10.5</v>
      </c>
      <c r="AC2" s="33" t="n">
        <v>10.5</v>
      </c>
      <c r="AD2" s="33" t="n">
        <v>10</v>
      </c>
      <c r="AE2" s="33" t="n">
        <v>10</v>
      </c>
      <c r="AF2" s="33" t="n">
        <v>10</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ЭкспедицияПлюс</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650</v>
      </c>
      <c r="E2" s="1" t="n">
        <v>650</v>
      </c>
      <c r="F2" s="1" t="n">
        <v>650</v>
      </c>
      <c r="G2" s="1" t="n">
        <v>650</v>
      </c>
      <c r="H2" s="1" t="n">
        <v>650</v>
      </c>
      <c r="I2" s="1" t="n">
        <v>650</v>
      </c>
      <c r="J2" s="1" t="n">
        <v>650</v>
      </c>
      <c r="K2" s="1" t="n">
        <v>650</v>
      </c>
      <c r="L2" s="1" t="n">
        <v>747.5</v>
      </c>
      <c r="M2" s="1" t="n">
        <v>650</v>
      </c>
      <c r="N2" s="33" t="n">
        <v>14.95</v>
      </c>
      <c r="O2" s="33" t="n">
        <v>14.8</v>
      </c>
      <c r="P2" s="33" t="n">
        <v>14.8</v>
      </c>
      <c r="Q2" s="33" t="n">
        <v>14.8</v>
      </c>
      <c r="R2" s="33" t="n">
        <v>14.4542</v>
      </c>
      <c r="S2" s="33" t="n">
        <v>14.4542</v>
      </c>
      <c r="T2" s="33" t="n">
        <v>14.341</v>
      </c>
      <c r="U2" s="33" t="n">
        <v>14.341</v>
      </c>
      <c r="V2" s="33" t="n">
        <v>14.341</v>
      </c>
      <c r="W2" s="33" t="n">
        <v>14.341</v>
      </c>
      <c r="X2" s="33" t="n">
        <v>14.066</v>
      </c>
      <c r="Y2" s="33" t="n">
        <v>14.066</v>
      </c>
      <c r="Z2" s="33" t="n">
        <v>14.066</v>
      </c>
      <c r="AA2" s="33" t="n">
        <v>13.7103</v>
      </c>
      <c r="AB2" s="33" t="n">
        <v>13.3059</v>
      </c>
      <c r="AC2" s="33" t="n">
        <v>13.3059</v>
      </c>
      <c r="AD2" s="33" t="n">
        <v>12.9663</v>
      </c>
      <c r="AE2" s="33" t="n">
        <v>12.9663</v>
      </c>
      <c r="AF2" s="33" t="n">
        <v>12.9663</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6.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CTSgroup</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n">
        <v>300</v>
      </c>
      <c r="E2" s="1" t="n">
        <v>300</v>
      </c>
      <c r="F2" s="1" t="n">
        <v>300</v>
      </c>
      <c r="G2" s="1" t="n">
        <v>300</v>
      </c>
      <c r="H2" s="1" t="n">
        <v>300</v>
      </c>
      <c r="I2" s="1" t="n">
        <v>300</v>
      </c>
      <c r="J2" s="1" t="n">
        <v>346.5</v>
      </c>
      <c r="K2" s="1" t="n">
        <v>396</v>
      </c>
      <c r="L2" s="1" t="n">
        <v>495</v>
      </c>
      <c r="M2" s="1" t="n">
        <v>300</v>
      </c>
      <c r="N2" s="33" t="n">
        <v>9.9</v>
      </c>
      <c r="O2" s="33" t="n">
        <v>9.9</v>
      </c>
      <c r="P2" s="33" t="n">
        <v>9.699999999999999</v>
      </c>
      <c r="Q2" s="33" t="n">
        <v>9.699999999999999</v>
      </c>
      <c r="R2" s="33" t="n">
        <v>9.699999999999999</v>
      </c>
      <c r="S2" s="33" t="n">
        <v>9.699999999999999</v>
      </c>
      <c r="T2" s="33" t="n">
        <v>9.5</v>
      </c>
      <c r="U2" s="33" t="n">
        <v>9.5</v>
      </c>
      <c r="V2" s="33" t="n">
        <v>9.5</v>
      </c>
      <c r="W2" s="33" t="n">
        <v>9.5</v>
      </c>
      <c r="X2" s="33" t="n">
        <v>9.5</v>
      </c>
      <c r="Y2" s="33" t="n">
        <v>9.300000000000001</v>
      </c>
      <c r="Z2" s="33" t="n">
        <v>9.300000000000001</v>
      </c>
      <c r="AA2" s="33" t="n">
        <v>9</v>
      </c>
      <c r="AB2" s="33" t="n">
        <v>9</v>
      </c>
      <c r="AC2" s="33" t="n">
        <v>9</v>
      </c>
      <c r="AD2" s="33" t="n">
        <v>9</v>
      </c>
      <c r="AE2" s="33" t="n">
        <v>9</v>
      </c>
      <c r="AF2" s="33" t="n">
        <v>9</v>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27.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Енисей</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28.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Терминал</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29.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Сибтехнотранс</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0.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ИмперияАвто</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1.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Магистраль</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2.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Транзит</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3.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АРТК</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4.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Аскор</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5.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КараванКарго</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6.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СолнечныйМагадан</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7.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Анкор</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C1"/>
  </mergeCells>
  <pageMargins left="0.7" right="0.7" top="0.75" bottom="0.75" header="0.3" footer="0.3"/>
  <pageSetup orientation="landscape" paperSize="8" fitToHeight="0" fitToWidth="1"/>
</worksheet>
</file>

<file path=xl/worksheets/sheet38.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ЖелдорАльянс</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39.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ЖелдорЭкспресс</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40.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МТК авто</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41.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МТК жд</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inlineStr">
        <is>
          <t>нет данных</t>
        </is>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42.xml><?xml version="1.0" encoding="utf-8"?>
<worksheet xmlns="http://schemas.openxmlformats.org/spreadsheetml/2006/main">
  <sheetPr>
    <outlinePr summaryBelow="1" summaryRight="1"/>
    <pageSetUpPr fitToPage="1"/>
  </sheetPr>
  <dimension ref="A1:BK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ht="36" customHeight="1">
      <c r="A1" s="1" t="inlineStr">
        <is>
          <t>Байкал Сервис</t>
        </is>
      </c>
      <c r="C1" s="1" t="inlineStr">
        <is>
          <t>Назначение</t>
        </is>
      </c>
      <c r="D1" s="6" t="inlineStr">
        <is>
          <t>0-1кг</t>
        </is>
      </c>
      <c r="E1" s="29" t="inlineStr">
        <is>
          <t xml:space="preserve">  1-3кг</t>
        </is>
      </c>
      <c r="F1" s="29" t="inlineStr">
        <is>
          <t xml:space="preserve">  3-5кг</t>
        </is>
      </c>
      <c r="G1" s="6" t="inlineStr">
        <is>
          <t xml:space="preserve">  5-10кг</t>
        </is>
      </c>
      <c r="H1" s="29" t="inlineStr">
        <is>
          <t xml:space="preserve">  10-15кг</t>
        </is>
      </c>
      <c r="I1" s="29" t="inlineStr">
        <is>
          <t xml:space="preserve">  15-20кг</t>
        </is>
      </c>
      <c r="J1" s="6" t="inlineStr">
        <is>
          <t xml:space="preserve">  20-35кг</t>
        </is>
      </c>
      <c r="K1" s="29" t="inlineStr">
        <is>
          <t>35-40кг</t>
        </is>
      </c>
      <c r="L1" s="29" t="inlineStr">
        <is>
          <t>40-50кг</t>
        </is>
      </c>
      <c r="M1" s="29" t="inlineStr">
        <is>
          <t>МИН</t>
        </is>
      </c>
      <c r="N1" s="6" t="inlineStr">
        <is>
          <t>до 100</t>
        </is>
      </c>
      <c r="O1" s="6" t="inlineStr">
        <is>
          <t>до 200</t>
        </is>
      </c>
      <c r="P1" s="29" t="inlineStr">
        <is>
          <t>до 250</t>
        </is>
      </c>
      <c r="Q1" s="29" t="inlineStr">
        <is>
          <t>до 300</t>
        </is>
      </c>
      <c r="R1" s="29" t="inlineStr">
        <is>
          <t>до 400</t>
        </is>
      </c>
      <c r="S1" s="29" t="inlineStr">
        <is>
          <t>до 500</t>
        </is>
      </c>
      <c r="T1" s="6" t="inlineStr">
        <is>
          <t>до 600</t>
        </is>
      </c>
      <c r="U1" s="29" t="inlineStr">
        <is>
          <t>до 700</t>
        </is>
      </c>
      <c r="V1" s="29" t="inlineStr">
        <is>
          <t>до 750</t>
        </is>
      </c>
      <c r="W1" s="29" t="inlineStr">
        <is>
          <t>до 800</t>
        </is>
      </c>
      <c r="X1" s="29" t="inlineStr">
        <is>
          <t>до 1000</t>
        </is>
      </c>
      <c r="Y1" s="6" t="inlineStr">
        <is>
          <t>до 1200</t>
        </is>
      </c>
      <c r="Z1" s="29" t="inlineStr">
        <is>
          <t>до 1500</t>
        </is>
      </c>
      <c r="AA1" s="29" t="inlineStr">
        <is>
          <t>до 2000</t>
        </is>
      </c>
      <c r="AB1" s="6" t="inlineStr">
        <is>
          <t>до 2500</t>
        </is>
      </c>
      <c r="AC1" s="29" t="inlineStr">
        <is>
          <t>до 3000</t>
        </is>
      </c>
      <c r="AD1" s="6" t="inlineStr">
        <is>
          <t>до 5000</t>
        </is>
      </c>
      <c r="AE1" s="29" t="inlineStr">
        <is>
          <t>до 10000</t>
        </is>
      </c>
      <c r="AF1" s="29" t="inlineStr">
        <is>
          <t>до 20000</t>
        </is>
      </c>
      <c r="AG1" s="1" t="n"/>
      <c r="AH1" s="6" t="inlineStr">
        <is>
          <t>0,2-0,4</t>
        </is>
      </c>
      <c r="AI1" s="29" t="inlineStr">
        <is>
          <t>0,4-0,6</t>
        </is>
      </c>
      <c r="AJ1" s="29" t="inlineStr">
        <is>
          <t>0,6-0,8</t>
        </is>
      </c>
      <c r="AK1" s="29" t="inlineStr">
        <is>
          <t>0,8-1,1</t>
        </is>
      </c>
      <c r="AL1" s="6" t="inlineStr">
        <is>
          <t>1,1-1,2</t>
        </is>
      </c>
      <c r="AM1" s="29" t="inlineStr">
        <is>
          <t>1,2-1,3</t>
        </is>
      </c>
      <c r="AN1" s="29" t="inlineStr">
        <is>
          <t>1,3-1,5</t>
        </is>
      </c>
      <c r="AO1" s="29" t="inlineStr">
        <is>
          <t>1,5-1,8</t>
        </is>
      </c>
      <c r="AP1" s="29" t="inlineStr">
        <is>
          <t>1,8-2</t>
        </is>
      </c>
      <c r="AQ1" s="29" t="inlineStr">
        <is>
          <t>2-2,3</t>
        </is>
      </c>
      <c r="AR1" s="29" t="inlineStr">
        <is>
          <t>2,3-2,5</t>
        </is>
      </c>
      <c r="AS1" s="29" t="inlineStr">
        <is>
          <t>2,5-3</t>
        </is>
      </c>
      <c r="AT1" s="6" t="inlineStr">
        <is>
          <t>3-3,2</t>
        </is>
      </c>
      <c r="AU1" s="29" t="inlineStr">
        <is>
          <t>3,2-3,6</t>
        </is>
      </c>
      <c r="AV1" s="29" t="inlineStr">
        <is>
          <t>3,6-4</t>
        </is>
      </c>
      <c r="AW1" s="29" t="inlineStr">
        <is>
          <t>4--5</t>
        </is>
      </c>
      <c r="AX1" s="6" t="inlineStr">
        <is>
          <t>5-5,5</t>
        </is>
      </c>
      <c r="AY1" s="29" t="inlineStr">
        <is>
          <t>5,5-5,8</t>
        </is>
      </c>
      <c r="AZ1" s="29" t="inlineStr">
        <is>
          <t>5,8-6</t>
        </is>
      </c>
      <c r="BA1" s="29" t="inlineStr">
        <is>
          <t>6--7</t>
        </is>
      </c>
      <c r="BB1" s="29" t="inlineStr">
        <is>
          <t>7-7,5</t>
        </is>
      </c>
      <c r="BC1" s="29" t="inlineStr">
        <is>
          <t>7,5-8</t>
        </is>
      </c>
      <c r="BD1" s="29" t="inlineStr">
        <is>
          <t>8--10</t>
        </is>
      </c>
      <c r="BE1" s="6" t="inlineStr">
        <is>
          <t>10--12</t>
        </is>
      </c>
      <c r="BF1" s="29" t="inlineStr">
        <is>
          <t>12--15</t>
        </is>
      </c>
      <c r="BG1" s="6" t="inlineStr">
        <is>
          <t>15--20</t>
        </is>
      </c>
      <c r="BH1" s="29" t="inlineStr">
        <is>
          <t>20--25</t>
        </is>
      </c>
      <c r="BI1" s="29" t="inlineStr">
        <is>
          <t>25--40</t>
        </is>
      </c>
      <c r="BJ1" s="29" t="inlineStr">
        <is>
          <t>40--45</t>
        </is>
      </c>
      <c r="BK1" s="29" t="inlineStr">
        <is>
          <t>40--80</t>
        </is>
      </c>
    </row>
    <row r="2">
      <c r="A2" s="1" t="n">
        <v>1</v>
      </c>
      <c r="B2" s="1" t="inlineStr">
        <is>
          <t>Москва</t>
        </is>
      </c>
      <c r="C2" s="1" t="inlineStr">
        <is>
          <t>Санкт-Петербург</t>
        </is>
      </c>
      <c r="D2" s="1" t="inlineStr">
        <is>
          <t>нет данных</t>
        </is>
      </c>
      <c r="E2" s="1" t="inlineStr">
        <is>
          <t>нет данных</t>
        </is>
      </c>
      <c r="F2" s="1" t="inlineStr">
        <is>
          <t>нет данных</t>
        </is>
      </c>
      <c r="G2" s="1" t="inlineStr">
        <is>
          <t>нет данных</t>
        </is>
      </c>
      <c r="H2" s="1" t="inlineStr">
        <is>
          <t>нет данных</t>
        </is>
      </c>
      <c r="I2" s="1" t="inlineStr">
        <is>
          <t>нет данных</t>
        </is>
      </c>
      <c r="J2" s="1" t="inlineStr">
        <is>
          <t>нет данных</t>
        </is>
      </c>
      <c r="K2" s="1" t="inlineStr">
        <is>
          <t>нет данных</t>
        </is>
      </c>
      <c r="L2" s="1" t="inlineStr">
        <is>
          <t>нет данных</t>
        </is>
      </c>
      <c r="M2" s="1" t="n">
        <v>564</v>
      </c>
      <c r="N2" s="1" t="inlineStr">
        <is>
          <t>нет данных</t>
        </is>
      </c>
      <c r="O2" s="1" t="inlineStr">
        <is>
          <t>нет данных</t>
        </is>
      </c>
      <c r="P2" s="1" t="inlineStr">
        <is>
          <t>нет данных</t>
        </is>
      </c>
      <c r="Q2" s="1" t="inlineStr">
        <is>
          <t>нет данных</t>
        </is>
      </c>
      <c r="R2" s="1" t="inlineStr">
        <is>
          <t>нет данных</t>
        </is>
      </c>
      <c r="S2" s="1" t="inlineStr">
        <is>
          <t>нет данных</t>
        </is>
      </c>
      <c r="T2" s="1" t="inlineStr">
        <is>
          <t>нет данных</t>
        </is>
      </c>
      <c r="U2" s="1" t="inlineStr">
        <is>
          <t>нет данных</t>
        </is>
      </c>
      <c r="V2" s="1" t="inlineStr">
        <is>
          <t>нет данных</t>
        </is>
      </c>
      <c r="W2" s="1" t="inlineStr">
        <is>
          <t>нет данных</t>
        </is>
      </c>
      <c r="X2" s="1" t="inlineStr">
        <is>
          <t>нет данных</t>
        </is>
      </c>
      <c r="Y2" s="1" t="inlineStr">
        <is>
          <t>нет данных</t>
        </is>
      </c>
      <c r="Z2" s="1" t="inlineStr">
        <is>
          <t>нет данных</t>
        </is>
      </c>
      <c r="AA2" s="1" t="inlineStr">
        <is>
          <t>нет данных</t>
        </is>
      </c>
      <c r="AB2" s="1" t="inlineStr">
        <is>
          <t>нет данных</t>
        </is>
      </c>
      <c r="AC2" s="1" t="inlineStr">
        <is>
          <t>нет данных</t>
        </is>
      </c>
      <c r="AD2" s="1" t="inlineStr">
        <is>
          <t>нет данных</t>
        </is>
      </c>
      <c r="AE2" s="1" t="inlineStr">
        <is>
          <t>нет данных</t>
        </is>
      </c>
      <c r="AF2" s="1" t="inlineStr">
        <is>
          <t>нет данных</t>
        </is>
      </c>
      <c r="AG2" s="1" t="n"/>
      <c r="AH2" s="1" t="inlineStr">
        <is>
          <t>не собрано</t>
        </is>
      </c>
      <c r="AI2" s="1" t="inlineStr">
        <is>
          <t>не собрано</t>
        </is>
      </c>
      <c r="AJ2" s="1" t="inlineStr">
        <is>
          <t>не собрано</t>
        </is>
      </c>
      <c r="AK2" s="1" t="inlineStr">
        <is>
          <t>не собрано</t>
        </is>
      </c>
      <c r="AL2" s="1" t="inlineStr">
        <is>
          <t>не собрано</t>
        </is>
      </c>
      <c r="AM2" s="1" t="inlineStr">
        <is>
          <t>не собрано</t>
        </is>
      </c>
      <c r="AN2" s="1" t="inlineStr">
        <is>
          <t>не собрано</t>
        </is>
      </c>
      <c r="AO2" s="1" t="inlineStr">
        <is>
          <t>не собрано</t>
        </is>
      </c>
      <c r="AP2" s="1" t="inlineStr">
        <is>
          <t>не собрано</t>
        </is>
      </c>
      <c r="AQ2" s="1" t="inlineStr">
        <is>
          <t>не собрано</t>
        </is>
      </c>
      <c r="AR2" s="1" t="inlineStr">
        <is>
          <t>не собрано</t>
        </is>
      </c>
      <c r="AS2" s="1" t="inlineStr">
        <is>
          <t>не собрано</t>
        </is>
      </c>
      <c r="AT2" s="1" t="inlineStr">
        <is>
          <t>не собрано</t>
        </is>
      </c>
      <c r="AU2" s="1" t="inlineStr">
        <is>
          <t>не собрано</t>
        </is>
      </c>
      <c r="AV2" s="1" t="inlineStr">
        <is>
          <t>не собрано</t>
        </is>
      </c>
      <c r="AW2" s="1" t="inlineStr">
        <is>
          <t>не собрано</t>
        </is>
      </c>
      <c r="AX2" s="1" t="inlineStr">
        <is>
          <t>не собрано</t>
        </is>
      </c>
      <c r="AY2" s="1" t="inlineStr">
        <is>
          <t>не собрано</t>
        </is>
      </c>
      <c r="AZ2" s="1" t="inlineStr">
        <is>
          <t>не собрано</t>
        </is>
      </c>
      <c r="BA2" s="1" t="inlineStr">
        <is>
          <t>не собрано</t>
        </is>
      </c>
      <c r="BB2" s="1" t="inlineStr">
        <is>
          <t>не собрано</t>
        </is>
      </c>
      <c r="BC2" s="1" t="inlineStr">
        <is>
          <t>не собрано</t>
        </is>
      </c>
      <c r="BD2" s="1" t="inlineStr">
        <is>
          <t>не собрано</t>
        </is>
      </c>
      <c r="BE2" s="1" t="inlineStr">
        <is>
          <t>не собрано</t>
        </is>
      </c>
      <c r="BF2" s="1" t="inlineStr">
        <is>
          <t>не собрано</t>
        </is>
      </c>
      <c r="BG2" s="1" t="inlineStr">
        <is>
          <t>не собрано</t>
        </is>
      </c>
      <c r="BH2" s="1" t="inlineStr">
        <is>
          <t>не собрано</t>
        </is>
      </c>
      <c r="BI2" s="1" t="inlineStr">
        <is>
          <t>не собрано</t>
        </is>
      </c>
      <c r="BJ2" s="1" t="inlineStr">
        <is>
          <t>не собрано</t>
        </is>
      </c>
      <c r="BK2" s="1" t="inlineStr">
        <is>
          <t>не собрано</t>
        </is>
      </c>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row>
    <row r="4">
      <c r="A4" s="31" t="n"/>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row>
    <row r="5">
      <c r="A5" s="31" t="n"/>
      <c r="B5" s="31" t="inlineStr">
        <is>
          <t>D:L — отправка, ₽; M — минимум, ₽; N:AF — эффективная стоимость, ₽/кг.</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row>
    <row r="6">
      <c r="A6" s="31" t="n"/>
      <c r="B6" s="31" t="inlineStr">
        <is>
          <t>AH:BK — структура объёмных тарифов; эти данные приложением не собираются.</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row>
  </sheetData>
  <autoFilter ref="A1:AF2"/>
  <mergeCells count="1">
    <mergeCell ref="A1:B1"/>
  </mergeCells>
  <pageMargins left="0.7" right="0.7" top="0.75" bottom="0.75" header="0.3" footer="0.3"/>
  <pageSetup orientation="landscape" paperSize="8" fitToHeight="0" fitToWidth="1"/>
</worksheet>
</file>

<file path=xl/worksheets/sheet43.xml><?xml version="1.0" encoding="utf-8"?>
<worksheet xmlns="http://schemas.openxmlformats.org/spreadsheetml/2006/main">
  <sheetPr>
    <outlinePr summaryBelow="1" summaryRight="1"/>
    <pageSetUpPr fitToPage="1"/>
  </sheetPr>
  <dimension ref="A1:N8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8" customWidth="1" min="4" max="4"/>
    <col width="24" customWidth="1" min="5" max="5"/>
    <col width="24" customWidth="1" min="6" max="6"/>
    <col width="24" customWidth="1" min="7" max="7"/>
    <col width="50" customWidth="1" min="8" max="8"/>
    <col width="70" customWidth="1" min="9" max="9"/>
  </cols>
  <sheetData>
    <row r="1" ht="32" customHeight="1">
      <c r="A1" s="34" t="inlineStr">
        <is>
          <t>Компания</t>
        </is>
      </c>
      <c r="B1" s="34" t="inlineStr">
        <is>
          <t>Откуда</t>
        </is>
      </c>
      <c r="C1" s="34" t="inlineStr">
        <is>
          <t>Куда</t>
        </is>
      </c>
      <c r="D1" s="34" t="inlineStr">
        <is>
          <t>Диапазон</t>
        </is>
      </c>
      <c r="E1" s="34" t="inlineStr">
        <is>
          <t>Стоимость отправки, ₽</t>
        </is>
      </c>
      <c r="F1" s="34" t="inlineStr">
        <is>
          <t>Статус</t>
        </is>
      </c>
      <c r="G1" s="34" t="inlineStr">
        <is>
          <t>Получено</t>
        </is>
      </c>
      <c r="H1" s="34" t="inlineStr">
        <is>
          <t>Официальный URL</t>
        </is>
      </c>
      <c r="I1" s="34" t="inlineStr">
        <is>
          <t>Расчёт</t>
        </is>
      </c>
      <c r="J1" s="34" t="inlineStr">
        <is>
          <t>Файл пользователя</t>
        </is>
      </c>
      <c r="K1" s="34" t="inlineStr">
        <is>
          <t>Дата документа</t>
        </is>
      </c>
      <c r="L1" s="34" t="inlineStr">
        <is>
          <t>SHA256</t>
        </is>
      </c>
      <c r="M1" s="34" t="inlineStr">
        <is>
          <t>Страница / строка</t>
        </is>
      </c>
      <c r="N1" s="34" t="inlineStr">
        <is>
          <t>Причина отсутствия / ошибка</t>
        </is>
      </c>
    </row>
    <row r="2" ht="45" customHeight="1">
      <c r="A2" s="31" t="inlineStr">
        <is>
          <t>Werner</t>
        </is>
      </c>
      <c r="B2" s="31" t="inlineStr">
        <is>
          <t>Москва</t>
        </is>
      </c>
      <c r="C2" s="31" t="inlineStr">
        <is>
          <t>Санкт-Петербург</t>
        </is>
      </c>
      <c r="D2" s="35" t="inlineStr">
        <is>
          <t>0–1 кг, МИН</t>
        </is>
      </c>
      <c r="E2" s="31" t="n"/>
      <c r="F2" s="31" t="inlineStr">
        <is>
          <t>Проверено при сборе</t>
        </is>
      </c>
      <c r="G2" s="31" t="inlineStr">
        <is>
          <t>2026-09-14T16:09:06-07:00</t>
        </is>
      </c>
      <c r="H2" s="31" t="inlineStr">
        <is>
          <t>https://wernerus.ru/api/calc/?method=api_calc&amp;responseFormat=json&amp;depPoint=35&amp;arrPoint=36&amp;cargoMest%5B1%5D=1&amp;cargoKg%5B1%5D=1&amp;cargoL%5B1%5D=0.2154&amp;cargoW%5B1%5D=0.2154&amp;cargoH%5B1%5D=0.2154&amp;cargoCalculation%5B1%5D=1</t>
        </is>
      </c>
      <c r="I2" s="35" t="inlineStr">
        <is>
          <t>Расчёт калькулятора: 1 кг, 0.005 м³, терминал → терминал</t>
        </is>
      </c>
      <c r="J2" s="31" t="n"/>
      <c r="K2" s="31" t="n"/>
      <c r="L2" s="31" t="n"/>
      <c r="M2" s="31" t="inlineStr"/>
      <c r="N2" s="35" t="inlineStr"/>
    </row>
    <row r="3" ht="100" customHeight="1">
      <c r="A3" s="31" t="inlineStr">
        <is>
          <t>ДЛ</t>
        </is>
      </c>
      <c r="B3" s="31" t="inlineStr">
        <is>
          <t>Москва</t>
        </is>
      </c>
      <c r="C3" s="31" t="inlineStr">
        <is>
          <t>Санкт-Петербург</t>
        </is>
      </c>
      <c r="D3"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3" s="31" t="n"/>
      <c r="F3" s="31" t="inlineStr">
        <is>
          <t>Нет данных</t>
        </is>
      </c>
      <c r="G3" s="31" t="inlineStr">
        <is>
          <t>2026-09-14T16:08:53-07:00</t>
        </is>
      </c>
      <c r="H3" s="31" t="n"/>
      <c r="I3" s="35" t="inlineStr">
        <is>
          <t>Опубликованный тариф по весу; объём и дополнительные услуги не включены</t>
        </is>
      </c>
      <c r="J3" s="31" t="n"/>
      <c r="K3" s="31" t="n"/>
      <c r="L3" s="31" t="n"/>
      <c r="M3" s="31" t="inlineStr"/>
      <c r="N3" s="35" t="inlineStr">
        <is>
          <t>ДЛ: RuntimeError: Прайс: HTTP 401: www.dellin.ru. Калькулятор: HTTP 401: www.dellin.ru. Можно загрузить PDF/Excel перевозчика кнопкой «Загрузить прайс».</t>
        </is>
      </c>
    </row>
    <row r="4" ht="100" customHeight="1">
      <c r="A4" s="31" t="inlineStr">
        <is>
          <t>ПЭК</t>
        </is>
      </c>
      <c r="B4" s="31" t="inlineStr">
        <is>
          <t>Москва</t>
        </is>
      </c>
      <c r="C4" s="31" t="inlineStr">
        <is>
          <t>Санкт-Петербург</t>
        </is>
      </c>
      <c r="D4"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4" s="31" t="n"/>
      <c r="F4" s="31" t="inlineStr">
        <is>
          <t>Нет данных</t>
        </is>
      </c>
      <c r="G4" s="31" t="inlineStr">
        <is>
          <t>2026-09-14T16:10:34-07:00</t>
        </is>
      </c>
      <c r="H4" s="31" t="n"/>
      <c r="I4" s="35" t="inlineStr">
        <is>
          <t>Опубликованный тариф по весу; объём и дополнительные услуги не включены</t>
        </is>
      </c>
      <c r="J4" s="31" t="n"/>
      <c r="K4" s="31" t="n"/>
      <c r="L4" s="31" t="n"/>
      <c r="M4" s="31" t="inlineStr"/>
      <c r="N4" s="35" t="inlineStr">
        <is>
          <t>ПЭК: RuntimeError: Failed to perform, curl: (7) CONNECT tunnel failed, response 403. See https://curl.se/libcurl/c/libcurl-errors.html first for more details.</t>
        </is>
      </c>
    </row>
    <row r="5" ht="100" customHeight="1">
      <c r="A5" s="31" t="inlineStr">
        <is>
          <t>КИТ</t>
        </is>
      </c>
      <c r="B5" s="31" t="inlineStr">
        <is>
          <t>Москва</t>
        </is>
      </c>
      <c r="C5" s="31" t="inlineStr">
        <is>
          <t>Санкт-Петербург</t>
        </is>
      </c>
      <c r="D5"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5" s="31" t="n"/>
      <c r="F5" s="31" t="inlineStr">
        <is>
          <t>Проверено при сборе</t>
        </is>
      </c>
      <c r="G5" s="31" t="inlineStr">
        <is>
          <t>2026-09-14T16:05:18-07:00</t>
        </is>
      </c>
      <c r="H5" s="31" t="inlineStr">
        <is>
          <t>https://tk-kit.ru/rates-new/get-pdf-new?id=none&amp;name=%D0%A2%D0%B0%D1%80%D0%B8%D1%84%D1%8B%20%D0%B8%D0%B7%20%D0%B3%D0%BE%D1%80.%20%D0%9C%D0%BE%D1%81%D0%BA%D0%B2%D0%B0&amp;transport_out_code=0000007700&amp;transport_in_code=&amp;currency=RUB&amp;typeF=1</t>
        </is>
      </c>
      <c r="I5" s="35" t="inlineStr">
        <is>
          <t>Опубликованный тариф по весу; объём и дополнительные услуги не включены</t>
        </is>
      </c>
      <c r="J5" s="31" t="n"/>
      <c r="K5" s="31" t="n"/>
      <c r="L5" s="31" t="inlineStr">
        <is>
          <t>7464451ae5b046d040ffc785c1a12ff8369bfbac86193324bcc6fa5ff53cbc16</t>
        </is>
      </c>
      <c r="M5" s="31" t="inlineStr"/>
      <c r="N5" s="35" t="inlineStr"/>
    </row>
    <row r="6" ht="100" customHeight="1">
      <c r="A6" s="31" t="inlineStr">
        <is>
          <t>Возовоз</t>
        </is>
      </c>
      <c r="B6" s="31" t="inlineStr">
        <is>
          <t>Москва</t>
        </is>
      </c>
      <c r="C6" s="31" t="inlineStr">
        <is>
          <t>Санкт-Петербург</t>
        </is>
      </c>
      <c r="D6" s="35" t="inlineStr">
        <is>
          <t>0–1 кг, 1–3 кг, 3–5 кг, 5–10 кг, 10–15 кг, 15–20 кг, 20–35 кг, 35–40 кг, 40–50 кг,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6" s="31" t="n"/>
      <c r="F6" s="31" t="inlineStr">
        <is>
          <t>Нет данных</t>
        </is>
      </c>
      <c r="G6" s="31" t="inlineStr">
        <is>
          <t>2026-09-14T16:09:12-07:00</t>
        </is>
      </c>
      <c r="H6" s="31" t="n"/>
      <c r="I6" s="35" t="inlineStr">
        <is>
          <t>Опубликованный тариф по весу; объём и дополнительные услуги не включены</t>
        </is>
      </c>
      <c r="J6" s="31" t="n"/>
      <c r="K6" s="31" t="n"/>
      <c r="L6" s="31" t="n"/>
      <c r="M6" s="31" t="inlineStr"/>
      <c r="N6" s="35" t="inlineStr">
        <is>
          <t>Не все веса загружены: Источник публикует только цену «от». Точная весовая сетка недоступна.</t>
        </is>
      </c>
    </row>
    <row r="7" ht="100" customHeight="1">
      <c r="A7" s="31" t="inlineStr">
        <is>
          <t>Мейджик</t>
        </is>
      </c>
      <c r="B7" s="31" t="inlineStr">
        <is>
          <t>Москва</t>
        </is>
      </c>
      <c r="C7" s="31" t="inlineStr">
        <is>
          <t>Санкт-Петербург</t>
        </is>
      </c>
      <c r="D7"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7" s="31" t="n"/>
      <c r="F7" s="31" t="inlineStr">
        <is>
          <t>Проверено при сборе</t>
        </is>
      </c>
      <c r="G7" s="31" t="inlineStr">
        <is>
          <t>2026-09-14T16:04:33-07:00</t>
        </is>
      </c>
      <c r="H7" s="31" t="inlineStr">
        <is>
          <t>https://magic-trans.ru/include/mt-cost-traffic.php?cityFrom=%D0%9C%D0%BE%D1%81%D0%BA%D0%B2%D0%B0&amp;cityTo=%D0%A1%D0%B0%D0%BD%D0%BA%D1%82-%D0%9F%D0%B5%D1%82%D0%B5%D1%80%D0%B1%D1%83%D1%80%D0%B3</t>
        </is>
      </c>
      <c r="I7" s="35" t="inlineStr">
        <is>
          <t>Опубликованный тариф по весу; объём и дополнительные услуги не включены</t>
        </is>
      </c>
      <c r="J7" s="31" t="n"/>
      <c r="K7" s="31" t="n"/>
      <c r="L7" s="31" t="inlineStr">
        <is>
          <t>b4d3e39797fc97e5158a664c3bf5bf2b70d7df6d22594db3eb6e019d0822c167</t>
        </is>
      </c>
      <c r="M7" s="31" t="inlineStr"/>
      <c r="N7" s="35" t="inlineStr"/>
    </row>
    <row r="8" ht="100" customHeight="1">
      <c r="A8" s="31" t="inlineStr">
        <is>
          <t>Байкал Сервис</t>
        </is>
      </c>
      <c r="B8" s="31" t="inlineStr">
        <is>
          <t>Москва</t>
        </is>
      </c>
      <c r="C8" s="31" t="inlineStr">
        <is>
          <t>Санкт-Петербург</t>
        </is>
      </c>
      <c r="D8" s="35" t="inlineStr">
        <is>
          <t>0–1 кг, 1–3 кг, 3–5 кг, 5–10 кг, 10–15 кг, 15–20 кг, 20–35 кг, 35–40 кг, 40–50 кг,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8" s="31" t="n"/>
      <c r="F8" s="31" t="inlineStr">
        <is>
          <t>Нет данных</t>
        </is>
      </c>
      <c r="G8" s="31" t="inlineStr">
        <is>
          <t>2026-09-14T16:08:47-07:00</t>
        </is>
      </c>
      <c r="H8" s="31" t="n"/>
      <c r="I8" s="35" t="inlineStr">
        <is>
          <t>Опубликованный тариф по весу; объём и дополнительные услуги не включены</t>
        </is>
      </c>
      <c r="J8" s="31" t="n"/>
      <c r="K8" s="31" t="n"/>
      <c r="L8" s="31" t="n"/>
      <c r="M8" s="31" t="inlineStr"/>
      <c r="N8" s="35" t="inlineStr">
        <is>
          <t>Не все веса загружены: Источник публикует только цену «от». Точная весовая сетка недоступна.</t>
        </is>
      </c>
    </row>
    <row r="9" ht="45" customHeight="1">
      <c r="A9" s="31" t="inlineStr">
        <is>
          <t>Главтрасса</t>
        </is>
      </c>
      <c r="B9" s="31" t="inlineStr">
        <is>
          <t>Москва</t>
        </is>
      </c>
      <c r="C9" s="31" t="inlineStr">
        <is>
          <t>Санкт-Петербург</t>
        </is>
      </c>
      <c r="D9" s="35" t="inlineStr">
        <is>
          <t>0–1 кг, МИН</t>
        </is>
      </c>
      <c r="E9" s="31" t="n"/>
      <c r="F9" s="31" t="inlineStr">
        <is>
          <t>Проверено при сборе</t>
        </is>
      </c>
      <c r="G9" s="31" t="inlineStr">
        <is>
          <t>2026-09-14T16:04:43-07:00</t>
        </is>
      </c>
      <c r="H9" s="31" t="inlineStr">
        <is>
          <t>https://glavtrassa.ru/api/calc/?method=api_calc&amp;responseFormat=json&amp;depPoint=35&amp;arrPoint=36&amp;cargoMest%5B1%5D=1&amp;cargoKg%5B1%5D=1&amp;cargoL%5B1%5D=0.2154&amp;cargoW%5B1%5D=0.2154&amp;cargoH%5B1%5D=0.2154&amp;cargoCalculation%5B1%5D=1</t>
        </is>
      </c>
      <c r="I9" s="35" t="inlineStr">
        <is>
          <t>Расчёт калькулятора: 1 кг, 0.005 м³, терминал → терминал</t>
        </is>
      </c>
      <c r="J9" s="31" t="n"/>
      <c r="K9" s="31" t="n"/>
      <c r="L9" s="31" t="n"/>
      <c r="M9" s="31" t="inlineStr"/>
      <c r="N9" s="35" t="inlineStr"/>
    </row>
    <row r="10" ht="45" customHeight="1">
      <c r="A10" s="31" t="inlineStr">
        <is>
          <t>Пролайн</t>
        </is>
      </c>
      <c r="B10" s="31" t="inlineStr">
        <is>
          <t>Москва</t>
        </is>
      </c>
      <c r="C10" s="31" t="inlineStr">
        <is>
          <t>Санкт-Петербург</t>
        </is>
      </c>
      <c r="D10" s="35" t="inlineStr">
        <is>
          <t>0–1 кг, МИН</t>
        </is>
      </c>
      <c r="E10" s="31" t="n"/>
      <c r="F10" s="31" t="inlineStr">
        <is>
          <t>Проверено при сборе</t>
        </is>
      </c>
      <c r="G10" s="31" t="inlineStr">
        <is>
          <t>2026-09-14T16:04:37-07:00</t>
        </is>
      </c>
      <c r="H10" s="31" t="inlineStr">
        <is>
          <t>https://proline.su/dostavka/sbp-msk/</t>
        </is>
      </c>
      <c r="I10" s="35" t="inlineStr">
        <is>
          <t>Калькулятор: 1 кг, 0 м³, 1 место, терминал → терминал; без дополнительных услуг</t>
        </is>
      </c>
      <c r="J10" s="31" t="n"/>
      <c r="K10" s="31" t="n"/>
      <c r="L10" s="31" t="inlineStr">
        <is>
          <t>6dce2ccfb7b2f1c17ff731e200c7ad549d347df40df94a73a67bb8c52375a366</t>
        </is>
      </c>
      <c r="M10" s="31" t="inlineStr"/>
      <c r="N10" s="35" t="inlineStr"/>
    </row>
    <row r="11" ht="100" customHeight="1">
      <c r="A11" s="31" t="inlineStr">
        <is>
          <t>Фортуна</t>
        </is>
      </c>
      <c r="B11" s="31" t="inlineStr">
        <is>
          <t>Москва</t>
        </is>
      </c>
      <c r="C11" s="31" t="inlineStr">
        <is>
          <t>Санкт-Петербург</t>
        </is>
      </c>
      <c r="D11"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1" s="31" t="n"/>
      <c r="F11" s="31" t="inlineStr">
        <is>
          <t>Проверено при сборе</t>
        </is>
      </c>
      <c r="G11" s="31" t="inlineStr">
        <is>
          <t>2026-09-14T16:05:53-07:00</t>
        </is>
      </c>
      <c r="H11" s="31" t="inlineStr">
        <is>
          <t>https://fte.ru/upload/price_100926.xlsx</t>
        </is>
      </c>
      <c r="I11" s="35" t="inlineStr">
        <is>
          <t>Опубликованный тариф по весу; объём и дополнительные услуги не включены</t>
        </is>
      </c>
      <c r="J11" s="31" t="n"/>
      <c r="K11" s="31" t="n"/>
      <c r="L11" s="31" t="inlineStr">
        <is>
          <t>815fd3ee2e53c124849fae486a07754f213d9677309f0bc466abcb2fdc22fe5c</t>
        </is>
      </c>
      <c r="M11" s="31" t="inlineStr"/>
      <c r="N11" s="35" t="inlineStr"/>
    </row>
    <row r="12" ht="100" customHeight="1">
      <c r="A12" s="31" t="inlineStr">
        <is>
          <t>ФастТранс</t>
        </is>
      </c>
      <c r="B12" s="31" t="inlineStr">
        <is>
          <t>Москва</t>
        </is>
      </c>
      <c r="C12" s="31" t="inlineStr">
        <is>
          <t>Санкт-Петербург</t>
        </is>
      </c>
      <c r="D12"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2" s="31" t="n"/>
      <c r="F12" s="31" t="inlineStr">
        <is>
          <t>Проверено при сборе</t>
        </is>
      </c>
      <c r="G12" s="31" t="inlineStr">
        <is>
          <t>2026-09-14T16:04:41-07:00</t>
        </is>
      </c>
      <c r="H12" s="31" t="inlineStr">
        <is>
          <t>https://fastrans.ru/city/moscow_saint-petersburg/</t>
        </is>
      </c>
      <c r="I12" s="35" t="inlineStr">
        <is>
          <t>Опубликованный тариф по весу; объём и дополнительные услуги не включены</t>
        </is>
      </c>
      <c r="J12" s="31" t="n"/>
      <c r="K12" s="31" t="n"/>
      <c r="L12" s="31" t="inlineStr">
        <is>
          <t>26af8ded67e8833a8aa88fa66b3b1820f2863a392e4cb44fc398a5ae86cd9b76</t>
        </is>
      </c>
      <c r="M12" s="31" t="inlineStr"/>
      <c r="N12" s="35" t="inlineStr"/>
    </row>
    <row r="13" ht="100" customHeight="1">
      <c r="A13" s="31" t="inlineStr">
        <is>
          <t>Рейл Континент</t>
        </is>
      </c>
      <c r="B13" s="31" t="inlineStr">
        <is>
          <t>Москва</t>
        </is>
      </c>
      <c r="C13" s="31" t="inlineStr">
        <is>
          <t>Санкт-Петербург</t>
        </is>
      </c>
      <c r="D13"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3" s="31" t="n"/>
      <c r="F13" s="31" t="inlineStr">
        <is>
          <t>Проверено при сборе</t>
        </is>
      </c>
      <c r="G13" s="31" t="inlineStr">
        <is>
          <t>2026-09-14T16:04:57-07:00</t>
        </is>
      </c>
      <c r="H13" s="31" t="inlineStr">
        <is>
          <t>https://www.railcontinent.ru/upload/xls/calc/2026-09-15/moskva.xlsx</t>
        </is>
      </c>
      <c r="I13" s="35" t="inlineStr">
        <is>
          <t>Опубликованный тариф по весу; объём и дополнительные услуги не включены</t>
        </is>
      </c>
      <c r="J13" s="31" t="n"/>
      <c r="K13" s="31" t="n"/>
      <c r="L13" s="31" t="inlineStr">
        <is>
          <t>9a2b712323021dbbde3847ae40d588187afb94bb977abcbbe3215eb709f376da</t>
        </is>
      </c>
      <c r="M13" s="31" t="inlineStr"/>
      <c r="N13" s="35" t="inlineStr"/>
    </row>
    <row r="14" ht="100" customHeight="1">
      <c r="A14" s="31" t="inlineStr">
        <is>
          <t>АТЭК</t>
        </is>
      </c>
      <c r="B14" s="31" t="inlineStr">
        <is>
          <t>Москва</t>
        </is>
      </c>
      <c r="C14" s="31" t="inlineStr">
        <is>
          <t>Санкт-Петербург</t>
        </is>
      </c>
      <c r="D14"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4" s="31" t="n"/>
      <c r="F14" s="31" t="inlineStr">
        <is>
          <t>Проверено при сборе</t>
        </is>
      </c>
      <c r="G14" s="31" t="inlineStr">
        <is>
          <t>2026-09-14T16:04:48-07:00</t>
        </is>
      </c>
      <c r="H14" s="31" t="inlineStr">
        <is>
          <t>https://old.atec-logistic.ru/service-new/gruzoperevozki-iz-spb-v-msk/</t>
        </is>
      </c>
      <c r="I14" s="35" t="inlineStr">
        <is>
          <t>Опубликованный тариф по весу; объём и дополнительные услуги не включены</t>
        </is>
      </c>
      <c r="J14" s="31" t="n"/>
      <c r="K14" s="31" t="n"/>
      <c r="L14" s="31" t="inlineStr">
        <is>
          <t>695d48308721c7bd4b8003d07f387bb68f250715d2719ac210eda9924edf2c34</t>
        </is>
      </c>
      <c r="M14" s="31" t="inlineStr"/>
      <c r="N14" s="35" t="inlineStr"/>
    </row>
    <row r="15" ht="100" customHeight="1">
      <c r="A15" s="31" t="inlineStr">
        <is>
          <t>Новая Линия</t>
        </is>
      </c>
      <c r="B15" s="31" t="inlineStr">
        <is>
          <t>Москва</t>
        </is>
      </c>
      <c r="C15" s="31" t="inlineStr">
        <is>
          <t>Санкт-Петербург</t>
        </is>
      </c>
      <c r="D15"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t>
        </is>
      </c>
      <c r="E15" s="31" t="n"/>
      <c r="F15" s="31" t="inlineStr">
        <is>
          <t>Проверено при сборе</t>
        </is>
      </c>
      <c r="G15" s="31" t="inlineStr">
        <is>
          <t>2026-09-14T16:09:16-07:00</t>
        </is>
      </c>
      <c r="H15" s="31" t="inlineStr">
        <is>
          <t>https://tknl.ru/price/dev.php?AJAX=N&amp;RESULT=Y&amp;PDF=Y&amp;SERVICE=DELIVERY&amp;FROM=24727&amp;TO%5B%5D=ALL</t>
        </is>
      </c>
      <c r="I15" s="35" t="inlineStr">
        <is>
          <t>Опубликованный тариф по весу; объём и дополнительные услуги не включены</t>
        </is>
      </c>
      <c r="J15" s="31" t="n"/>
      <c r="K15" s="31" t="n"/>
      <c r="L15" s="31" t="inlineStr">
        <is>
          <t>be6632edf7b43557f69bee5c5cf2a5bef3fc71bede65f47b1f2b62fd280c6b3b</t>
        </is>
      </c>
      <c r="M15" s="31" t="inlineStr"/>
      <c r="N15" s="35" t="inlineStr"/>
    </row>
    <row r="16" ht="100" customHeight="1">
      <c r="A16" s="31" t="inlineStr">
        <is>
          <t>БСК</t>
        </is>
      </c>
      <c r="B16" s="31" t="inlineStr">
        <is>
          <t>Москва</t>
        </is>
      </c>
      <c r="C16" s="31" t="inlineStr">
        <is>
          <t>Санкт-Петербург</t>
        </is>
      </c>
      <c r="D16"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6" s="31" t="n"/>
      <c r="F16" s="31" t="inlineStr">
        <is>
          <t>Проверено при сборе</t>
        </is>
      </c>
      <c r="G16" s="31" t="inlineStr">
        <is>
          <t>2026-09-14T16:05:05-07:00</t>
        </is>
      </c>
      <c r="H16" s="31" t="inlineStr">
        <is>
          <t>https://123789.ru/terminals-addresses/moskva</t>
        </is>
      </c>
      <c r="I16" s="35" t="inlineStr">
        <is>
          <t>Опубликованный тариф по весу; объём и дополнительные услуги не включены</t>
        </is>
      </c>
      <c r="J16" s="31" t="n"/>
      <c r="K16" s="31" t="n"/>
      <c r="L16" s="31" t="inlineStr">
        <is>
          <t>8f01e22b0680c96ee2abb9cf8e70d832ead10bfd6ac6c37805853acc4e9fcee8</t>
        </is>
      </c>
      <c r="M16" s="31" t="inlineStr"/>
      <c r="N16" s="35" t="inlineStr"/>
    </row>
    <row r="17" ht="100" customHeight="1">
      <c r="A17" s="31" t="inlineStr">
        <is>
          <t>ЭкспедицияПлюс</t>
        </is>
      </c>
      <c r="B17" s="31" t="inlineStr">
        <is>
          <t>Москва</t>
        </is>
      </c>
      <c r="C17" s="31" t="inlineStr">
        <is>
          <t>Санкт-Петербург</t>
        </is>
      </c>
      <c r="D17"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7" s="31" t="n"/>
      <c r="F17" s="31" t="inlineStr">
        <is>
          <t>Проверено при сборе</t>
        </is>
      </c>
      <c r="G17" s="31" t="inlineStr">
        <is>
          <t>2026-09-14T16:05:06-07:00</t>
        </is>
      </c>
      <c r="H17" s="31" t="inlineStr">
        <is>
          <t>https://nevatk.ru/upload/iblock/fc3/fc3828038a646cb600bd6d1637b12d71.xlsx</t>
        </is>
      </c>
      <c r="I17" s="35" t="inlineStr">
        <is>
          <t>Опубликованный тариф по весу; объём и дополнительные услуги не включены</t>
        </is>
      </c>
      <c r="J17" s="31" t="n"/>
      <c r="K17" s="31" t="n"/>
      <c r="L17" s="31" t="inlineStr">
        <is>
          <t>2d54aa48aa803a2bdab1f2b2e61d9de38d3792e24601c4661823e262cc0168cd</t>
        </is>
      </c>
      <c r="M17" s="31" t="inlineStr"/>
      <c r="N17" s="35" t="inlineStr"/>
    </row>
    <row r="18" ht="100" customHeight="1">
      <c r="A18" s="31" t="inlineStr">
        <is>
          <t>CTSgroup</t>
        </is>
      </c>
      <c r="B18" s="31" t="inlineStr">
        <is>
          <t>Москва</t>
        </is>
      </c>
      <c r="C18" s="31" t="inlineStr">
        <is>
          <t>Санкт-Петербург</t>
        </is>
      </c>
      <c r="D18"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8" s="31" t="n"/>
      <c r="F18" s="31" t="inlineStr">
        <is>
          <t>Проверено при сборе</t>
        </is>
      </c>
      <c r="G18" s="31" t="inlineStr">
        <is>
          <t>2026-09-14T16:05:05-07:00</t>
        </is>
      </c>
      <c r="H18" s="31" t="inlineStr">
        <is>
          <t>https://cts-group.ru/prices</t>
        </is>
      </c>
      <c r="I18" s="35" t="inlineStr">
        <is>
          <t>Опубликованный тариф по весу; объём и дополнительные услуги не включены</t>
        </is>
      </c>
      <c r="J18" s="31" t="n"/>
      <c r="K18" s="31" t="n"/>
      <c r="L18" s="31" t="inlineStr">
        <is>
          <t>1c39147930a6305193818d38b2f0fecf56c0af6c0a862c7359014468db20e4ab</t>
        </is>
      </c>
      <c r="M18" s="31" t="inlineStr"/>
      <c r="N18" s="35" t="inlineStr"/>
    </row>
    <row r="19" ht="100" customHeight="1">
      <c r="A19" s="31" t="inlineStr">
        <is>
          <t>Грузопоток</t>
        </is>
      </c>
      <c r="B19" s="31" t="inlineStr">
        <is>
          <t>Москва</t>
        </is>
      </c>
      <c r="C19" s="31" t="inlineStr">
        <is>
          <t>Санкт-Петербург</t>
        </is>
      </c>
      <c r="D19" s="35" t="inlineStr">
        <is>
          <t>0–1 кг, 1–3 кг, 3–5 кг, 5–10 кг, 10–15 кг, 15–20 кг, 20–35 кг, 35–40 кг, 40–50 кг, МИН, 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19" s="31" t="n"/>
      <c r="F19" s="31" t="inlineStr">
        <is>
          <t>Нет данных</t>
        </is>
      </c>
      <c r="G19" s="31" t="inlineStr">
        <is>
          <t>2026-09-14T16:05:13-07:00</t>
        </is>
      </c>
      <c r="H19" s="31" t="n"/>
      <c r="I19" s="35" t="inlineStr">
        <is>
          <t>Опубликованный тариф по весу; объём и дополнительные услуги не включены</t>
        </is>
      </c>
      <c r="J19" s="31" t="n"/>
      <c r="K19" s="31" t="n"/>
      <c r="L19" s="31" t="n"/>
      <c r="M19" s="31" t="inlineStr"/>
      <c r="N19" s="35" t="inlineStr">
        <is>
          <t>Грузопоток: RuntimeError: Нет опубликованного тарифа для выбранного маршрута: Грузопоток: автоматический весовой прайс не подтверждён. На странице заказчика стоимость предлагается запросить у менеджера. Загрузите полученный документ через «Загрузить прайс».</t>
        </is>
      </c>
    </row>
    <row r="20" ht="45" customHeight="1">
      <c r="A20" s="31" t="inlineStr">
        <is>
          <t>Werner</t>
        </is>
      </c>
      <c r="B20" s="31" t="inlineStr">
        <is>
          <t>Москва</t>
        </is>
      </c>
      <c r="C20" s="31" t="inlineStr">
        <is>
          <t>Санкт-Петербург</t>
        </is>
      </c>
      <c r="D20" s="35" t="inlineStr">
        <is>
          <t>1–3 кг</t>
        </is>
      </c>
      <c r="E20" s="31" t="n">
        <v>246</v>
      </c>
      <c r="F20" s="31" t="inlineStr">
        <is>
          <t>Проверено при сборе</t>
        </is>
      </c>
      <c r="G20" s="31" t="inlineStr">
        <is>
          <t>2026-09-14T16:09:06-07:00</t>
        </is>
      </c>
      <c r="H20" s="31" t="inlineStr">
        <is>
          <t>https://wernerus.ru/api/calc/?method=api_calc&amp;responseFormat=json&amp;depPoint=35&amp;arrPoint=36&amp;cargoMest%5B1%5D=1&amp;cargoKg%5B1%5D=3&amp;cargoL%5B1%5D=0.2466&amp;cargoW%5B1%5D=0.2466&amp;cargoH%5B1%5D=0.2466&amp;cargoCalculation%5B1%5D=1</t>
        </is>
      </c>
      <c r="I20" s="35" t="inlineStr">
        <is>
          <t>Расчёт калькулятора: 3 кг, 0.015 м³, терминал → терминал</t>
        </is>
      </c>
      <c r="J20" s="31" t="n"/>
      <c r="K20" s="31" t="n"/>
      <c r="L20" s="31" t="n"/>
      <c r="M20" s="31" t="inlineStr"/>
      <c r="N20" s="35" t="inlineStr"/>
    </row>
    <row r="21" ht="45" customHeight="1">
      <c r="A21" s="31" t="inlineStr">
        <is>
          <t>Главтрасса</t>
        </is>
      </c>
      <c r="B21" s="31" t="inlineStr">
        <is>
          <t>Москва</t>
        </is>
      </c>
      <c r="C21" s="31" t="inlineStr">
        <is>
          <t>Санкт-Петербург</t>
        </is>
      </c>
      <c r="D21" s="35" t="inlineStr">
        <is>
          <t>1–3 кг</t>
        </is>
      </c>
      <c r="E21" s="31" t="n">
        <v>390</v>
      </c>
      <c r="F21" s="31" t="inlineStr">
        <is>
          <t>Проверено при сборе</t>
        </is>
      </c>
      <c r="G21" s="31" t="inlineStr">
        <is>
          <t>2026-09-14T16:04:43-07:00</t>
        </is>
      </c>
      <c r="H21" s="31" t="inlineStr">
        <is>
          <t>https://glavtrassa.ru/api/calc/?method=api_calc&amp;responseFormat=json&amp;depPoint=35&amp;arrPoint=36&amp;cargoMest%5B1%5D=1&amp;cargoKg%5B1%5D=3&amp;cargoL%5B1%5D=0.2466&amp;cargoW%5B1%5D=0.2466&amp;cargoH%5B1%5D=0.2466&amp;cargoCalculation%5B1%5D=1</t>
        </is>
      </c>
      <c r="I21" s="35" t="inlineStr">
        <is>
          <t>Расчёт калькулятора: 3 кг, 0.015 м³, терминал → терминал</t>
        </is>
      </c>
      <c r="J21" s="31" t="n"/>
      <c r="K21" s="31" t="n"/>
      <c r="L21" s="31" t="n"/>
      <c r="M21" s="31" t="inlineStr"/>
      <c r="N21" s="35" t="inlineStr"/>
    </row>
    <row r="22" ht="45" customHeight="1">
      <c r="A22" s="31" t="inlineStr">
        <is>
          <t>Пролайн</t>
        </is>
      </c>
      <c r="B22" s="31" t="inlineStr">
        <is>
          <t>Москва</t>
        </is>
      </c>
      <c r="C22" s="31" t="inlineStr">
        <is>
          <t>Санкт-Петербург</t>
        </is>
      </c>
      <c r="D22" s="35" t="inlineStr">
        <is>
          <t>1–3 кг</t>
        </is>
      </c>
      <c r="E22" s="31" t="n">
        <v>550</v>
      </c>
      <c r="F22" s="31" t="inlineStr">
        <is>
          <t>Проверено при сборе</t>
        </is>
      </c>
      <c r="G22" s="31" t="inlineStr">
        <is>
          <t>2026-09-14T16:04:37-07:00</t>
        </is>
      </c>
      <c r="H22" s="31" t="inlineStr">
        <is>
          <t>https://proline.su/dostavka/sbp-msk/</t>
        </is>
      </c>
      <c r="I22" s="35" t="inlineStr">
        <is>
          <t>Калькулятор: 3 кг, 0 м³, 1 место, терминал → терминал; без дополнительных услуг</t>
        </is>
      </c>
      <c r="J22" s="31" t="n"/>
      <c r="K22" s="31" t="n"/>
      <c r="L22" s="31" t="inlineStr">
        <is>
          <t>6dce2ccfb7b2f1c17ff731e200c7ad549d347df40df94a73a67bb8c52375a366</t>
        </is>
      </c>
      <c r="M22" s="31" t="inlineStr"/>
      <c r="N22" s="35" t="inlineStr"/>
    </row>
    <row r="23" ht="45" customHeight="1">
      <c r="A23" s="31" t="inlineStr">
        <is>
          <t>Werner</t>
        </is>
      </c>
      <c r="B23" s="31" t="inlineStr">
        <is>
          <t>Москва</t>
        </is>
      </c>
      <c r="C23" s="31" t="inlineStr">
        <is>
          <t>Санкт-Петербург</t>
        </is>
      </c>
      <c r="D23" s="35" t="inlineStr">
        <is>
          <t>3–5 кг</t>
        </is>
      </c>
      <c r="E23" s="31" t="n">
        <v>246</v>
      </c>
      <c r="F23" s="31" t="inlineStr">
        <is>
          <t>Проверено при сборе</t>
        </is>
      </c>
      <c r="G23" s="31" t="inlineStr">
        <is>
          <t>2026-09-14T16:09:06-07:00</t>
        </is>
      </c>
      <c r="H23" s="31" t="inlineStr">
        <is>
          <t>https://wernerus.ru/api/calc/?method=api_calc&amp;responseFormat=json&amp;depPoint=35&amp;arrPoint=36&amp;cargoMest%5B1%5D=1&amp;cargoKg%5B1%5D=5&amp;cargoL%5B1%5D=0.2924&amp;cargoW%5B1%5D=0.2924&amp;cargoH%5B1%5D=0.2924&amp;cargoCalculation%5B1%5D=1</t>
        </is>
      </c>
      <c r="I23" s="35" t="inlineStr">
        <is>
          <t>Расчёт калькулятора: 5 кг, 0.025 м³, терминал → терминал</t>
        </is>
      </c>
      <c r="J23" s="31" t="n"/>
      <c r="K23" s="31" t="n"/>
      <c r="L23" s="31" t="n"/>
      <c r="M23" s="31" t="inlineStr"/>
      <c r="N23" s="35" t="inlineStr"/>
    </row>
    <row r="24" ht="45" customHeight="1">
      <c r="A24" s="31" t="inlineStr">
        <is>
          <t>Главтрасса</t>
        </is>
      </c>
      <c r="B24" s="31" t="inlineStr">
        <is>
          <t>Москва</t>
        </is>
      </c>
      <c r="C24" s="31" t="inlineStr">
        <is>
          <t>Санкт-Петербург</t>
        </is>
      </c>
      <c r="D24" s="35" t="inlineStr">
        <is>
          <t>3–5 кг</t>
        </is>
      </c>
      <c r="E24" s="31" t="n">
        <v>390</v>
      </c>
      <c r="F24" s="31" t="inlineStr">
        <is>
          <t>Проверено при сборе</t>
        </is>
      </c>
      <c r="G24" s="31" t="inlineStr">
        <is>
          <t>2026-09-14T16:04:51-07:00</t>
        </is>
      </c>
      <c r="H24" s="31" t="inlineStr">
        <is>
          <t>https://glavtrassa.ru/api/calc/?method=api_calc&amp;responseFormat=json&amp;depPoint=35&amp;arrPoint=36&amp;cargoMest%5B1%5D=1&amp;cargoKg%5B1%5D=5&amp;cargoL%5B1%5D=0.2924&amp;cargoW%5B1%5D=0.2924&amp;cargoH%5B1%5D=0.2924&amp;cargoCalculation%5B1%5D=1</t>
        </is>
      </c>
      <c r="I24" s="35" t="inlineStr">
        <is>
          <t>Расчёт калькулятора: 5 кг, 0.025 м³, терминал → терминал</t>
        </is>
      </c>
      <c r="J24" s="31" t="n"/>
      <c r="K24" s="31" t="n"/>
      <c r="L24" s="31" t="n"/>
      <c r="M24" s="31" t="inlineStr"/>
      <c r="N24" s="35" t="inlineStr"/>
    </row>
    <row r="25" ht="45" customHeight="1">
      <c r="A25" s="31" t="inlineStr">
        <is>
          <t>Пролайн</t>
        </is>
      </c>
      <c r="B25" s="31" t="inlineStr">
        <is>
          <t>Москва</t>
        </is>
      </c>
      <c r="C25" s="31" t="inlineStr">
        <is>
          <t>Санкт-Петербург</t>
        </is>
      </c>
      <c r="D25" s="35" t="inlineStr">
        <is>
          <t>3–5 кг</t>
        </is>
      </c>
      <c r="E25" s="31" t="n">
        <v>550</v>
      </c>
      <c r="F25" s="31" t="inlineStr">
        <is>
          <t>Проверено при сборе</t>
        </is>
      </c>
      <c r="G25" s="31" t="inlineStr">
        <is>
          <t>2026-09-14T16:04:37-07:00</t>
        </is>
      </c>
      <c r="H25" s="31" t="inlineStr">
        <is>
          <t>https://proline.su/dostavka/sbp-msk/</t>
        </is>
      </c>
      <c r="I25" s="35" t="inlineStr">
        <is>
          <t>Калькулятор: 5 кг, 0 м³, 1 место, терминал → терминал; без дополнительных услуг</t>
        </is>
      </c>
      <c r="J25" s="31" t="n"/>
      <c r="K25" s="31" t="n"/>
      <c r="L25" s="31" t="inlineStr">
        <is>
          <t>6dce2ccfb7b2f1c17ff731e200c7ad549d347df40df94a73a67bb8c52375a366</t>
        </is>
      </c>
      <c r="M25" s="31" t="inlineStr"/>
      <c r="N25" s="35" t="inlineStr"/>
    </row>
    <row r="26" ht="45" customHeight="1">
      <c r="A26" s="31" t="inlineStr">
        <is>
          <t>Werner</t>
        </is>
      </c>
      <c r="B26" s="31" t="inlineStr">
        <is>
          <t>Москва</t>
        </is>
      </c>
      <c r="C26" s="31" t="inlineStr">
        <is>
          <t>Санкт-Петербург</t>
        </is>
      </c>
      <c r="D26" s="35" t="inlineStr">
        <is>
          <t>5–10 кг</t>
        </is>
      </c>
      <c r="E26" s="31" t="n">
        <v>453</v>
      </c>
      <c r="F26" s="31" t="inlineStr">
        <is>
          <t>Проверено при сборе</t>
        </is>
      </c>
      <c r="G26" s="31" t="inlineStr">
        <is>
          <t>2026-09-14T16:09:06-07:00</t>
        </is>
      </c>
      <c r="H26" s="31" t="inlineStr">
        <is>
          <t>https://wernerus.ru/api/calc/?method=api_calc&amp;responseFormat=json&amp;depPoint=35&amp;arrPoint=36&amp;cargoMest%5B1%5D=1&amp;cargoKg%5B1%5D=10&amp;cargoL%5B1%5D=0.3684&amp;cargoW%5B1%5D=0.3684&amp;cargoH%5B1%5D=0.3684&amp;cargoCalculation%5B1%5D=1</t>
        </is>
      </c>
      <c r="I26" s="35" t="inlineStr">
        <is>
          <t>Расчёт калькулятора: 10 кг, 0.05 м³, терминал → терминал</t>
        </is>
      </c>
      <c r="J26" s="31" t="n"/>
      <c r="K26" s="31" t="n"/>
      <c r="L26" s="31" t="n"/>
      <c r="M26" s="31" t="inlineStr"/>
      <c r="N26" s="35" t="inlineStr"/>
    </row>
    <row r="27" ht="45" customHeight="1">
      <c r="A27" s="31" t="inlineStr">
        <is>
          <t>Главтрасса</t>
        </is>
      </c>
      <c r="B27" s="31" t="inlineStr">
        <is>
          <t>Москва</t>
        </is>
      </c>
      <c r="C27" s="31" t="inlineStr">
        <is>
          <t>Санкт-Петербург</t>
        </is>
      </c>
      <c r="D27" s="35" t="inlineStr">
        <is>
          <t>5–10 кг</t>
        </is>
      </c>
      <c r="E27" s="31" t="n">
        <v>400</v>
      </c>
      <c r="F27" s="31" t="inlineStr">
        <is>
          <t>Проверено при сборе</t>
        </is>
      </c>
      <c r="G27" s="31" t="inlineStr">
        <is>
          <t>2026-09-14T16:04:51-07:00</t>
        </is>
      </c>
      <c r="H27" s="31" t="inlineStr">
        <is>
          <t>https://glavtrassa.ru/api/calc/?method=api_calc&amp;responseFormat=json&amp;depPoint=35&amp;arrPoint=36&amp;cargoMest%5B1%5D=1&amp;cargoKg%5B1%5D=10&amp;cargoL%5B1%5D=0.3684&amp;cargoW%5B1%5D=0.3684&amp;cargoH%5B1%5D=0.3684&amp;cargoCalculation%5B1%5D=1</t>
        </is>
      </c>
      <c r="I27" s="35" t="inlineStr">
        <is>
          <t>Расчёт калькулятора: 10 кг, 0.05 м³, терминал → терминал</t>
        </is>
      </c>
      <c r="J27" s="31" t="n"/>
      <c r="K27" s="31" t="n"/>
      <c r="L27" s="31" t="n"/>
      <c r="M27" s="31" t="inlineStr"/>
      <c r="N27" s="35" t="inlineStr"/>
    </row>
    <row r="28" ht="45" customHeight="1">
      <c r="A28" s="31" t="inlineStr">
        <is>
          <t>Пролайн</t>
        </is>
      </c>
      <c r="B28" s="31" t="inlineStr">
        <is>
          <t>Москва</t>
        </is>
      </c>
      <c r="C28" s="31" t="inlineStr">
        <is>
          <t>Санкт-Петербург</t>
        </is>
      </c>
      <c r="D28" s="35" t="inlineStr">
        <is>
          <t>5–10 кг</t>
        </is>
      </c>
      <c r="E28" s="31" t="n">
        <v>550</v>
      </c>
      <c r="F28" s="31" t="inlineStr">
        <is>
          <t>Проверено при сборе</t>
        </is>
      </c>
      <c r="G28" s="31" t="inlineStr">
        <is>
          <t>2026-09-14T16:04:37-07:00</t>
        </is>
      </c>
      <c r="H28" s="31" t="inlineStr">
        <is>
          <t>https://proline.su/dostavka/sbp-msk/</t>
        </is>
      </c>
      <c r="I28" s="35" t="inlineStr">
        <is>
          <t>Калькулятор: 10 кг, 0 м³, 1 место, терминал → терминал; без дополнительных услуг</t>
        </is>
      </c>
      <c r="J28" s="31" t="n"/>
      <c r="K28" s="31" t="n"/>
      <c r="L28" s="31" t="inlineStr">
        <is>
          <t>6dce2ccfb7b2f1c17ff731e200c7ad549d347df40df94a73a67bb8c52375a366</t>
        </is>
      </c>
      <c r="M28" s="31" t="inlineStr"/>
      <c r="N28" s="35" t="inlineStr"/>
    </row>
    <row r="29" ht="45" customHeight="1">
      <c r="A29" s="31" t="inlineStr">
        <is>
          <t>Werner</t>
        </is>
      </c>
      <c r="B29" s="31" t="inlineStr">
        <is>
          <t>Москва</t>
        </is>
      </c>
      <c r="C29" s="31" t="inlineStr">
        <is>
          <t>Санкт-Петербург</t>
        </is>
      </c>
      <c r="D29" s="35" t="inlineStr">
        <is>
          <t>10–15 кг</t>
        </is>
      </c>
      <c r="E29" s="31" t="n">
        <v>453</v>
      </c>
      <c r="F29" s="31" t="inlineStr">
        <is>
          <t>Проверено при сборе</t>
        </is>
      </c>
      <c r="G29" s="31" t="inlineStr">
        <is>
          <t>2026-09-14T16:09:07-07:00</t>
        </is>
      </c>
      <c r="H29" s="31" t="inlineStr">
        <is>
          <t>https://wernerus.ru/api/calc/?method=api_calc&amp;responseFormat=json&amp;depPoint=35&amp;arrPoint=36&amp;cargoMest%5B1%5D=1&amp;cargoKg%5B1%5D=15&amp;cargoL%5B1%5D=0.4217&amp;cargoW%5B1%5D=0.4217&amp;cargoH%5B1%5D=0.4217&amp;cargoCalculation%5B1%5D=1</t>
        </is>
      </c>
      <c r="I29" s="35" t="inlineStr">
        <is>
          <t>Расчёт калькулятора: 15 кг, 0.075 м³, терминал → терминал</t>
        </is>
      </c>
      <c r="J29" s="31" t="n"/>
      <c r="K29" s="31" t="n"/>
      <c r="L29" s="31" t="n"/>
      <c r="M29" s="31" t="inlineStr"/>
      <c r="N29" s="35" t="inlineStr"/>
    </row>
    <row r="30" ht="45" customHeight="1">
      <c r="A30" s="31" t="inlineStr">
        <is>
          <t>Главтрасса</t>
        </is>
      </c>
      <c r="B30" s="31" t="inlineStr">
        <is>
          <t>Москва</t>
        </is>
      </c>
      <c r="C30" s="31" t="inlineStr">
        <is>
          <t>Санкт-Петербург</t>
        </is>
      </c>
      <c r="D30" s="35" t="inlineStr">
        <is>
          <t>10–15 кг</t>
        </is>
      </c>
      <c r="E30" s="31" t="n">
        <v>400</v>
      </c>
      <c r="F30" s="31" t="inlineStr">
        <is>
          <t>Проверено при сборе</t>
        </is>
      </c>
      <c r="G30" s="31" t="inlineStr">
        <is>
          <t>2026-09-14T16:04:51-07:00</t>
        </is>
      </c>
      <c r="H30" s="31" t="inlineStr">
        <is>
          <t>https://glavtrassa.ru/api/calc/?method=api_calc&amp;responseFormat=json&amp;depPoint=35&amp;arrPoint=36&amp;cargoMest%5B1%5D=1&amp;cargoKg%5B1%5D=15&amp;cargoL%5B1%5D=0.4217&amp;cargoW%5B1%5D=0.4217&amp;cargoH%5B1%5D=0.4217&amp;cargoCalculation%5B1%5D=1</t>
        </is>
      </c>
      <c r="I30" s="35" t="inlineStr">
        <is>
          <t>Расчёт калькулятора: 15 кг, 0.075 м³, терминал → терминал</t>
        </is>
      </c>
      <c r="J30" s="31" t="n"/>
      <c r="K30" s="31" t="n"/>
      <c r="L30" s="31" t="n"/>
      <c r="M30" s="31" t="inlineStr"/>
      <c r="N30" s="35" t="inlineStr"/>
    </row>
    <row r="31" ht="45" customHeight="1">
      <c r="A31" s="31" t="inlineStr">
        <is>
          <t>Пролайн</t>
        </is>
      </c>
      <c r="B31" s="31" t="inlineStr">
        <is>
          <t>Москва</t>
        </is>
      </c>
      <c r="C31" s="31" t="inlineStr">
        <is>
          <t>Санкт-Петербург</t>
        </is>
      </c>
      <c r="D31" s="35" t="inlineStr">
        <is>
          <t>10–15 кг</t>
        </is>
      </c>
      <c r="E31" s="31" t="n">
        <v>550</v>
      </c>
      <c r="F31" s="31" t="inlineStr">
        <is>
          <t>Проверено при сборе</t>
        </is>
      </c>
      <c r="G31" s="31" t="inlineStr">
        <is>
          <t>2026-09-14T16:04:37-07:00</t>
        </is>
      </c>
      <c r="H31" s="31" t="inlineStr">
        <is>
          <t>https://proline.su/dostavka/sbp-msk/</t>
        </is>
      </c>
      <c r="I31" s="35" t="inlineStr">
        <is>
          <t>Калькулятор: 15 кг, 0 м³, 1 место, терминал → терминал; без дополнительных услуг</t>
        </is>
      </c>
      <c r="J31" s="31" t="n"/>
      <c r="K31" s="31" t="n"/>
      <c r="L31" s="31" t="inlineStr">
        <is>
          <t>6dce2ccfb7b2f1c17ff731e200c7ad549d347df40df94a73a67bb8c52375a366</t>
        </is>
      </c>
      <c r="M31" s="31" t="inlineStr"/>
      <c r="N31" s="35" t="inlineStr"/>
    </row>
    <row r="32" ht="45" customHeight="1">
      <c r="A32" s="31" t="inlineStr">
        <is>
          <t>Werner</t>
        </is>
      </c>
      <c r="B32" s="31" t="inlineStr">
        <is>
          <t>Москва</t>
        </is>
      </c>
      <c r="C32" s="31" t="inlineStr">
        <is>
          <t>Санкт-Петербург</t>
        </is>
      </c>
      <c r="D32" s="35" t="inlineStr">
        <is>
          <t>15–20 кг</t>
        </is>
      </c>
      <c r="E32" s="31" t="n">
        <v>453</v>
      </c>
      <c r="F32" s="31" t="inlineStr">
        <is>
          <t>Проверено при сборе</t>
        </is>
      </c>
      <c r="G32" s="31" t="inlineStr">
        <is>
          <t>2026-09-14T16:09:07-07:00</t>
        </is>
      </c>
      <c r="H32" s="31" t="inlineStr">
        <is>
          <t>https://wernerus.ru/api/calc/?method=api_calc&amp;responseFormat=json&amp;depPoint=35&amp;arrPoint=36&amp;cargoMest%5B1%5D=1&amp;cargoKg%5B1%5D=20&amp;cargoL%5B1%5D=0.4642&amp;cargoW%5B1%5D=0.4642&amp;cargoH%5B1%5D=0.4642&amp;cargoCalculation%5B1%5D=1</t>
        </is>
      </c>
      <c r="I32" s="35" t="inlineStr">
        <is>
          <t>Расчёт калькулятора: 20 кг, 0.1 м³, терминал → терминал</t>
        </is>
      </c>
      <c r="J32" s="31" t="n"/>
      <c r="K32" s="31" t="n"/>
      <c r="L32" s="31" t="n"/>
      <c r="M32" s="31" t="inlineStr"/>
      <c r="N32" s="35" t="inlineStr"/>
    </row>
    <row r="33" ht="45" customHeight="1">
      <c r="A33" s="31" t="inlineStr">
        <is>
          <t>Главтрасса</t>
        </is>
      </c>
      <c r="B33" s="31" t="inlineStr">
        <is>
          <t>Москва</t>
        </is>
      </c>
      <c r="C33" s="31" t="inlineStr">
        <is>
          <t>Санкт-Петербург</t>
        </is>
      </c>
      <c r="D33" s="35" t="inlineStr">
        <is>
          <t>15–20 кг</t>
        </is>
      </c>
      <c r="E33" s="31" t="n">
        <v>400</v>
      </c>
      <c r="F33" s="31" t="inlineStr">
        <is>
          <t>Проверено при сборе</t>
        </is>
      </c>
      <c r="G33" s="31" t="inlineStr">
        <is>
          <t>2026-09-14T16:04:51-07:00</t>
        </is>
      </c>
      <c r="H33" s="31" t="inlineStr">
        <is>
          <t>https://glavtrassa.ru/api/calc/?method=api_calc&amp;responseFormat=json&amp;depPoint=35&amp;arrPoint=36&amp;cargoMest%5B1%5D=1&amp;cargoKg%5B1%5D=20&amp;cargoL%5B1%5D=0.4642&amp;cargoW%5B1%5D=0.4642&amp;cargoH%5B1%5D=0.4642&amp;cargoCalculation%5B1%5D=1</t>
        </is>
      </c>
      <c r="I33" s="35" t="inlineStr">
        <is>
          <t>Расчёт калькулятора: 20 кг, 0.1 м³, терминал → терминал</t>
        </is>
      </c>
      <c r="J33" s="31" t="n"/>
      <c r="K33" s="31" t="n"/>
      <c r="L33" s="31" t="n"/>
      <c r="M33" s="31" t="inlineStr"/>
      <c r="N33" s="35" t="inlineStr"/>
    </row>
    <row r="34" ht="45" customHeight="1">
      <c r="A34" s="31" t="inlineStr">
        <is>
          <t>Пролайн</t>
        </is>
      </c>
      <c r="B34" s="31" t="inlineStr">
        <is>
          <t>Москва</t>
        </is>
      </c>
      <c r="C34" s="31" t="inlineStr">
        <is>
          <t>Санкт-Петербург</t>
        </is>
      </c>
      <c r="D34" s="35" t="inlineStr">
        <is>
          <t>15–20 кг</t>
        </is>
      </c>
      <c r="E34" s="31" t="n">
        <v>550</v>
      </c>
      <c r="F34" s="31" t="inlineStr">
        <is>
          <t>Проверено при сборе</t>
        </is>
      </c>
      <c r="G34" s="31" t="inlineStr">
        <is>
          <t>2026-09-14T16:04:37-07:00</t>
        </is>
      </c>
      <c r="H34" s="31" t="inlineStr">
        <is>
          <t>https://proline.su/dostavka/sbp-msk/</t>
        </is>
      </c>
      <c r="I34" s="35" t="inlineStr">
        <is>
          <t>Калькулятор: 20 кг, 0 м³, 1 место, терминал → терминал; без дополнительных услуг</t>
        </is>
      </c>
      <c r="J34" s="31" t="n"/>
      <c r="K34" s="31" t="n"/>
      <c r="L34" s="31" t="inlineStr">
        <is>
          <t>6dce2ccfb7b2f1c17ff731e200c7ad549d347df40df94a73a67bb8c52375a366</t>
        </is>
      </c>
      <c r="M34" s="31" t="inlineStr"/>
      <c r="N34" s="35" t="inlineStr"/>
    </row>
    <row r="35" ht="45" customHeight="1">
      <c r="A35" s="31" t="inlineStr">
        <is>
          <t>Werner</t>
        </is>
      </c>
      <c r="B35" s="31" t="inlineStr">
        <is>
          <t>Москва</t>
        </is>
      </c>
      <c r="C35" s="31" t="inlineStr">
        <is>
          <t>Санкт-Петербург</t>
        </is>
      </c>
      <c r="D35" s="35" t="inlineStr">
        <is>
          <t>20–35 кг</t>
        </is>
      </c>
      <c r="E35" s="31" t="n">
        <v>510</v>
      </c>
      <c r="F35" s="31" t="inlineStr">
        <is>
          <t>Проверено при сборе</t>
        </is>
      </c>
      <c r="G35" s="31" t="inlineStr">
        <is>
          <t>2026-09-14T16:09:07-07:00</t>
        </is>
      </c>
      <c r="H35" s="31" t="inlineStr">
        <is>
          <t>https://wernerus.ru/api/calc/?method=api_calc&amp;responseFormat=json&amp;depPoint=35&amp;arrPoint=36&amp;cargoMest%5B1%5D=1&amp;cargoKg%5B1%5D=35&amp;cargoL%5B1%5D=0.5593&amp;cargoW%5B1%5D=0.5593&amp;cargoH%5B1%5D=0.5593&amp;cargoCalculation%5B1%5D=1</t>
        </is>
      </c>
      <c r="I35" s="35" t="inlineStr">
        <is>
          <t>Расчёт калькулятора: 35 кг, 0.175 м³, терминал → терминал</t>
        </is>
      </c>
      <c r="J35" s="31" t="n"/>
      <c r="K35" s="31" t="n"/>
      <c r="L35" s="31" t="n"/>
      <c r="M35" s="31" t="inlineStr"/>
      <c r="N35" s="35" t="inlineStr"/>
    </row>
    <row r="36" ht="45" customHeight="1">
      <c r="A36" s="31" t="inlineStr">
        <is>
          <t>Главтрасса</t>
        </is>
      </c>
      <c r="B36" s="31" t="inlineStr">
        <is>
          <t>Москва</t>
        </is>
      </c>
      <c r="C36" s="31" t="inlineStr">
        <is>
          <t>Санкт-Петербург</t>
        </is>
      </c>
      <c r="D36" s="35" t="inlineStr">
        <is>
          <t>20–35 кг</t>
        </is>
      </c>
      <c r="E36" s="31" t="n">
        <v>456</v>
      </c>
      <c r="F36" s="31" t="inlineStr">
        <is>
          <t>Проверено при сборе</t>
        </is>
      </c>
      <c r="G36" s="31" t="inlineStr">
        <is>
          <t>2026-09-14T16:04:52-07:00</t>
        </is>
      </c>
      <c r="H36" s="31" t="inlineStr">
        <is>
          <t>https://glavtrassa.ru/api/calc/?method=api_calc&amp;responseFormat=json&amp;depPoint=35&amp;arrPoint=36&amp;cargoMest%5B1%5D=1&amp;cargoKg%5B1%5D=35&amp;cargoL%5B1%5D=0.5593&amp;cargoW%5B1%5D=0.5593&amp;cargoH%5B1%5D=0.5593&amp;cargoCalculation%5B1%5D=1</t>
        </is>
      </c>
      <c r="I36" s="35" t="inlineStr">
        <is>
          <t>Расчёт калькулятора: 35 кг, 0.175 м³, терминал → терминал</t>
        </is>
      </c>
      <c r="J36" s="31" t="n"/>
      <c r="K36" s="31" t="n"/>
      <c r="L36" s="31" t="n"/>
      <c r="M36" s="31" t="inlineStr"/>
      <c r="N36" s="35" t="inlineStr"/>
    </row>
    <row r="37" ht="45" customHeight="1">
      <c r="A37" s="31" t="inlineStr">
        <is>
          <t>Пролайн</t>
        </is>
      </c>
      <c r="B37" s="31" t="inlineStr">
        <is>
          <t>Москва</t>
        </is>
      </c>
      <c r="C37" s="31" t="inlineStr">
        <is>
          <t>Санкт-Петербург</t>
        </is>
      </c>
      <c r="D37" s="35" t="inlineStr">
        <is>
          <t>20–35 кг</t>
        </is>
      </c>
      <c r="E37" s="31" t="n">
        <v>550</v>
      </c>
      <c r="F37" s="31" t="inlineStr">
        <is>
          <t>Проверено при сборе</t>
        </is>
      </c>
      <c r="G37" s="31" t="inlineStr">
        <is>
          <t>2026-09-14T16:04:37-07:00</t>
        </is>
      </c>
      <c r="H37" s="31" t="inlineStr">
        <is>
          <t>https://proline.su/dostavka/sbp-msk/</t>
        </is>
      </c>
      <c r="I37" s="35" t="inlineStr">
        <is>
          <t>Калькулятор: 35 кг, 0 м³, 1 место, терминал → терминал; без дополнительных услуг</t>
        </is>
      </c>
      <c r="J37" s="31" t="n"/>
      <c r="K37" s="31" t="n"/>
      <c r="L37" s="31" t="inlineStr">
        <is>
          <t>6dce2ccfb7b2f1c17ff731e200c7ad549d347df40df94a73a67bb8c52375a366</t>
        </is>
      </c>
      <c r="M37" s="31" t="inlineStr"/>
      <c r="N37" s="35" t="inlineStr"/>
    </row>
    <row r="38" ht="45" customHeight="1">
      <c r="A38" s="31" t="inlineStr">
        <is>
          <t>Werner</t>
        </is>
      </c>
      <c r="B38" s="31" t="inlineStr">
        <is>
          <t>Москва</t>
        </is>
      </c>
      <c r="C38" s="31" t="inlineStr">
        <is>
          <t>Санкт-Петербург</t>
        </is>
      </c>
      <c r="D38" s="35" t="inlineStr">
        <is>
          <t>35–40 кг</t>
        </is>
      </c>
      <c r="E38" s="31" t="n">
        <v>570</v>
      </c>
      <c r="F38" s="31" t="inlineStr">
        <is>
          <t>Проверено при сборе</t>
        </is>
      </c>
      <c r="G38" s="31" t="inlineStr">
        <is>
          <t>2026-09-14T16:09:07-07:00</t>
        </is>
      </c>
      <c r="H38" s="31" t="inlineStr">
        <is>
          <t>https://wernerus.ru/api/calc/?method=api_calc&amp;responseFormat=json&amp;depPoint=35&amp;arrPoint=36&amp;cargoMest%5B1%5D=1&amp;cargoKg%5B1%5D=40&amp;cargoL%5B1%5D=0.5848&amp;cargoW%5B1%5D=0.5848&amp;cargoH%5B1%5D=0.5848&amp;cargoCalculation%5B1%5D=1</t>
        </is>
      </c>
      <c r="I38" s="35" t="inlineStr">
        <is>
          <t>Расчёт калькулятора: 40 кг, 0.2 м³, терминал → терминал</t>
        </is>
      </c>
      <c r="J38" s="31" t="n"/>
      <c r="K38" s="31" t="n"/>
      <c r="L38" s="31" t="n"/>
      <c r="M38" s="31" t="inlineStr"/>
      <c r="N38" s="35" t="inlineStr"/>
    </row>
    <row r="39" ht="45" customHeight="1">
      <c r="A39" s="31" t="inlineStr">
        <is>
          <t>Главтрасса</t>
        </is>
      </c>
      <c r="B39" s="31" t="inlineStr">
        <is>
          <t>Москва</t>
        </is>
      </c>
      <c r="C39" s="31" t="inlineStr">
        <is>
          <t>Санкт-Петербург</t>
        </is>
      </c>
      <c r="D39" s="35" t="inlineStr">
        <is>
          <t>35–40 кг</t>
        </is>
      </c>
      <c r="E39" s="31" t="n">
        <v>550</v>
      </c>
      <c r="F39" s="31" t="inlineStr">
        <is>
          <t>Проверено при сборе</t>
        </is>
      </c>
      <c r="G39" s="31" t="inlineStr">
        <is>
          <t>2026-09-14T16:04:52-07:00</t>
        </is>
      </c>
      <c r="H39" s="31" t="inlineStr">
        <is>
          <t>https://glavtrassa.ru/api/calc/?method=api_calc&amp;responseFormat=json&amp;depPoint=35&amp;arrPoint=36&amp;cargoMest%5B1%5D=1&amp;cargoKg%5B1%5D=40&amp;cargoL%5B1%5D=0.5848&amp;cargoW%5B1%5D=0.5848&amp;cargoH%5B1%5D=0.5848&amp;cargoCalculation%5B1%5D=1</t>
        </is>
      </c>
      <c r="I39" s="35" t="inlineStr">
        <is>
          <t>Расчёт калькулятора: 40 кг, 0.2 м³, терминал → терминал</t>
        </is>
      </c>
      <c r="J39" s="31" t="n"/>
      <c r="K39" s="31" t="n"/>
      <c r="L39" s="31" t="n"/>
      <c r="M39" s="31" t="inlineStr"/>
      <c r="N39" s="35" t="inlineStr"/>
    </row>
    <row r="40" ht="45" customHeight="1">
      <c r="A40" s="31" t="inlineStr">
        <is>
          <t>Пролайн</t>
        </is>
      </c>
      <c r="B40" s="31" t="inlineStr">
        <is>
          <t>Москва</t>
        </is>
      </c>
      <c r="C40" s="31" t="inlineStr">
        <is>
          <t>Санкт-Петербург</t>
        </is>
      </c>
      <c r="D40" s="35" t="inlineStr">
        <is>
          <t>35–40 кг</t>
        </is>
      </c>
      <c r="E40" s="31" t="n">
        <v>560</v>
      </c>
      <c r="F40" s="31" t="inlineStr">
        <is>
          <t>Проверено при сборе</t>
        </is>
      </c>
      <c r="G40" s="31" t="inlineStr">
        <is>
          <t>2026-09-14T16:04:37-07:00</t>
        </is>
      </c>
      <c r="H40" s="31" t="inlineStr">
        <is>
          <t>https://proline.su/dostavka/sbp-msk/</t>
        </is>
      </c>
      <c r="I40" s="35" t="inlineStr">
        <is>
          <t>Калькулятор: 40 кг, 0 м³, 1 место, терминал → терминал; без дополнительных услуг</t>
        </is>
      </c>
      <c r="J40" s="31" t="n"/>
      <c r="K40" s="31" t="n"/>
      <c r="L40" s="31" t="inlineStr">
        <is>
          <t>6dce2ccfb7b2f1c17ff731e200c7ad549d347df40df94a73a67bb8c52375a366</t>
        </is>
      </c>
      <c r="M40" s="31" t="inlineStr"/>
      <c r="N40" s="35" t="inlineStr"/>
    </row>
    <row r="41" ht="45" customHeight="1">
      <c r="A41" s="31" t="inlineStr">
        <is>
          <t>Werner</t>
        </is>
      </c>
      <c r="B41" s="31" t="inlineStr">
        <is>
          <t>Москва</t>
        </is>
      </c>
      <c r="C41" s="31" t="inlineStr">
        <is>
          <t>Санкт-Петербург</t>
        </is>
      </c>
      <c r="D41" s="35" t="inlineStr">
        <is>
          <t>40–50 кг</t>
        </is>
      </c>
      <c r="E41" s="31" t="n">
        <v>700</v>
      </c>
      <c r="F41" s="31" t="inlineStr">
        <is>
          <t>Проверено при сборе</t>
        </is>
      </c>
      <c r="G41" s="31" t="inlineStr">
        <is>
          <t>2026-09-14T16:09:08-07:00</t>
        </is>
      </c>
      <c r="H41" s="31" t="inlineStr">
        <is>
          <t>https://wernerus.ru/api/calc/?method=api_calc&amp;responseFormat=json&amp;depPoint=35&amp;arrPoint=36&amp;cargoMest%5B1%5D=1&amp;cargoKg%5B1%5D=50&amp;cargoL%5B1%5D=0.6300&amp;cargoW%5B1%5D=0.6300&amp;cargoH%5B1%5D=0.6300&amp;cargoCalculation%5B1%5D=1</t>
        </is>
      </c>
      <c r="I41" s="35" t="inlineStr">
        <is>
          <t>Расчёт калькулятора: 50 кг, 0.25 м³, терминал → терминал</t>
        </is>
      </c>
      <c r="J41" s="31" t="n"/>
      <c r="K41" s="31" t="n"/>
      <c r="L41" s="31" t="n"/>
      <c r="M41" s="31" t="inlineStr"/>
      <c r="N41" s="35" t="inlineStr"/>
    </row>
    <row r="42" ht="45" customHeight="1">
      <c r="A42" s="31" t="inlineStr">
        <is>
          <t>Главтрасса</t>
        </is>
      </c>
      <c r="B42" s="31" t="inlineStr">
        <is>
          <t>Москва</t>
        </is>
      </c>
      <c r="C42" s="31" t="inlineStr">
        <is>
          <t>Санкт-Петербург</t>
        </is>
      </c>
      <c r="D42" s="35" t="inlineStr">
        <is>
          <t>40–50 кг</t>
        </is>
      </c>
      <c r="E42" s="31" t="n">
        <v>688</v>
      </c>
      <c r="F42" s="31" t="inlineStr">
        <is>
          <t>Проверено при сборе</t>
        </is>
      </c>
      <c r="G42" s="31" t="inlineStr">
        <is>
          <t>2026-09-14T16:04:52-07:00</t>
        </is>
      </c>
      <c r="H42" s="31" t="inlineStr">
        <is>
          <t>https://glavtrassa.ru/api/calc/?method=api_calc&amp;responseFormat=json&amp;depPoint=35&amp;arrPoint=36&amp;cargoMest%5B1%5D=1&amp;cargoKg%5B1%5D=50&amp;cargoL%5B1%5D=0.6300&amp;cargoW%5B1%5D=0.6300&amp;cargoH%5B1%5D=0.6300&amp;cargoCalculation%5B1%5D=1</t>
        </is>
      </c>
      <c r="I42" s="35" t="inlineStr">
        <is>
          <t>Расчёт калькулятора: 50 кг, 0.25 м³, терминал → терминал</t>
        </is>
      </c>
      <c r="J42" s="31" t="n"/>
      <c r="K42" s="31" t="n"/>
      <c r="L42" s="31" t="n"/>
      <c r="M42" s="31" t="inlineStr"/>
      <c r="N42" s="35" t="inlineStr"/>
    </row>
    <row r="43" ht="45" customHeight="1">
      <c r="A43" s="31" t="inlineStr">
        <is>
          <t>Пролайн</t>
        </is>
      </c>
      <c r="B43" s="31" t="inlineStr">
        <is>
          <t>Москва</t>
        </is>
      </c>
      <c r="C43" s="31" t="inlineStr">
        <is>
          <t>Санкт-Петербург</t>
        </is>
      </c>
      <c r="D43" s="35" t="inlineStr">
        <is>
          <t>40–50 кг</t>
        </is>
      </c>
      <c r="E43" s="31" t="n">
        <v>700</v>
      </c>
      <c r="F43" s="31" t="inlineStr">
        <is>
          <t>Проверено при сборе</t>
        </is>
      </c>
      <c r="G43" s="31" t="inlineStr">
        <is>
          <t>2026-09-14T16:04:37-07:00</t>
        </is>
      </c>
      <c r="H43" s="31" t="inlineStr">
        <is>
          <t>https://proline.su/dostavka/sbp-msk/</t>
        </is>
      </c>
      <c r="I43" s="35" t="inlineStr">
        <is>
          <t>Калькулятор: 50 кг, 0 м³, 1 место, терминал → терминал; без дополнительных услуг</t>
        </is>
      </c>
      <c r="J43" s="31" t="n"/>
      <c r="K43" s="31" t="n"/>
      <c r="L43" s="31" t="inlineStr">
        <is>
          <t>6dce2ccfb7b2f1c17ff731e200c7ad549d347df40df94a73a67bb8c52375a366</t>
        </is>
      </c>
      <c r="M43" s="31" t="inlineStr"/>
      <c r="N43" s="35" t="inlineStr"/>
    </row>
    <row r="44" ht="45" customHeight="1">
      <c r="A44" s="31" t="inlineStr">
        <is>
          <t>Возовоз</t>
        </is>
      </c>
      <c r="B44" s="31" t="inlineStr">
        <is>
          <t>Москва</t>
        </is>
      </c>
      <c r="C44" s="31" t="inlineStr">
        <is>
          <t>Санкт-Петербург</t>
        </is>
      </c>
      <c r="D44" s="35" t="inlineStr">
        <is>
          <t>МИН</t>
        </is>
      </c>
      <c r="E44" s="31" t="n">
        <v>1980</v>
      </c>
      <c r="F44" s="31" t="inlineStr">
        <is>
          <t>Проверено при сборе</t>
        </is>
      </c>
      <c r="G44" s="31" t="inlineStr">
        <is>
          <t>2026-09-14T16:09:12-07:00</t>
        </is>
      </c>
      <c r="H44" s="31" t="inlineStr">
        <is>
          <t>https://vozovoz.ru/order/create/moskva_sankt-peterburg/</t>
        </is>
      </c>
      <c r="I44" s="35" t="inlineStr">
        <is>
          <t>Опубликованная цена «от» для направления; точная стоимость выбранного веса не подтверждена</t>
        </is>
      </c>
      <c r="J44" s="31" t="n"/>
      <c r="K44" s="31" t="n"/>
      <c r="L44" s="31" t="n"/>
      <c r="M44" s="31" t="inlineStr"/>
      <c r="N44" s="35" t="inlineStr">
        <is>
          <t>Не все веса загружены: Источник публикует только цену «от». Точная весовая сетка недоступна.</t>
        </is>
      </c>
    </row>
    <row r="45" ht="45" customHeight="1">
      <c r="A45" s="31" t="inlineStr">
        <is>
          <t>Байкал Сервис</t>
        </is>
      </c>
      <c r="B45" s="31" t="inlineStr">
        <is>
          <t>Москва</t>
        </is>
      </c>
      <c r="C45" s="31" t="inlineStr">
        <is>
          <t>Санкт-Петербург</t>
        </is>
      </c>
      <c r="D45" s="35" t="inlineStr">
        <is>
          <t>МИН</t>
        </is>
      </c>
      <c r="E45" s="31" t="n">
        <v>564</v>
      </c>
      <c r="F45" s="31" t="inlineStr">
        <is>
          <t>Проверено при сборе</t>
        </is>
      </c>
      <c r="G45" s="31" t="inlineStr">
        <is>
          <t>2026-09-14T16:08:47-07:00</t>
        </is>
      </c>
      <c r="H45" s="31" t="inlineStr">
        <is>
          <t>https://www.baikalsr.ru/city/moscow__spb/</t>
        </is>
      </c>
      <c r="I45" s="35" t="inlineStr">
        <is>
          <t>Опубликованная цена «от» для направления; точная стоимость выбранного веса не подтверждена</t>
        </is>
      </c>
      <c r="J45" s="31" t="n"/>
      <c r="K45" s="31" t="n"/>
      <c r="L45" s="31" t="n"/>
      <c r="M45" s="31" t="inlineStr"/>
      <c r="N45" s="35" t="inlineStr">
        <is>
          <t>Не все веса загружены: Источник публикует только цену «от». Точная весовая сетка недоступна.</t>
        </is>
      </c>
    </row>
    <row r="46" ht="45" customHeight="1">
      <c r="A46" s="31" t="inlineStr">
        <is>
          <t>Werner</t>
        </is>
      </c>
      <c r="B46" s="31" t="inlineStr">
        <is>
          <t>Москва</t>
        </is>
      </c>
      <c r="C46" s="31" t="inlineStr">
        <is>
          <t>Санкт-Петербург</t>
        </is>
      </c>
      <c r="D46" s="35" t="inlineStr">
        <is>
          <t>до 100 кг</t>
        </is>
      </c>
      <c r="E46" s="31" t="n">
        <v>1400</v>
      </c>
      <c r="F46" s="31" t="inlineStr">
        <is>
          <t>Проверено при сборе</t>
        </is>
      </c>
      <c r="G46" s="31" t="inlineStr">
        <is>
          <t>2026-09-14T16:08:52-07:00</t>
        </is>
      </c>
      <c r="H46" s="31" t="inlineStr">
        <is>
          <t>https://wernerus.ru/api/calc/?method=api_calc&amp;responseFormat=json&amp;depPoint=35&amp;arrPoint=36&amp;cargoMest%5B1%5D=1&amp;cargoKg%5B1%5D=100&amp;cargoL%5B1%5D=0.7937&amp;cargoW%5B1%5D=0.7937&amp;cargoH%5B1%5D=0.7937&amp;cargoCalculation%5B1%5D=1</t>
        </is>
      </c>
      <c r="I46" s="35" t="inlineStr">
        <is>
          <t>Расчёт калькулятора: 100 кг, 0.5 м³, терминал → терминал</t>
        </is>
      </c>
      <c r="J46" s="31" t="n"/>
      <c r="K46" s="31" t="n"/>
      <c r="L46" s="31" t="n"/>
      <c r="M46" s="31" t="inlineStr"/>
      <c r="N46" s="35" t="inlineStr"/>
    </row>
    <row r="47" ht="45" customHeight="1">
      <c r="A47" s="31" t="inlineStr">
        <is>
          <t>Главтрасса</t>
        </is>
      </c>
      <c r="B47" s="31" t="inlineStr">
        <is>
          <t>Москва</t>
        </is>
      </c>
      <c r="C47" s="31" t="inlineStr">
        <is>
          <t>Санкт-Петербург</t>
        </is>
      </c>
      <c r="D47" s="35" t="inlineStr">
        <is>
          <t>до 100 кг</t>
        </is>
      </c>
      <c r="E47" s="31" t="n">
        <v>1375</v>
      </c>
      <c r="F47" s="31" t="inlineStr">
        <is>
          <t>Проверено при сборе</t>
        </is>
      </c>
      <c r="G47" s="31" t="inlineStr">
        <is>
          <t>2026-09-14T16:04:25-07:00</t>
        </is>
      </c>
      <c r="H47" s="31" t="inlineStr">
        <is>
          <t>https://glavtrassa.ru/api/calc/?method=api_calc&amp;responseFormat=json&amp;depPoint=35&amp;arrPoint=36&amp;cargoMest%5B1%5D=1&amp;cargoKg%5B1%5D=100&amp;cargoL%5B1%5D=0.7937&amp;cargoW%5B1%5D=0.7937&amp;cargoH%5B1%5D=0.7937&amp;cargoCalculation%5B1%5D=1</t>
        </is>
      </c>
      <c r="I47" s="35" t="inlineStr">
        <is>
          <t>Расчёт калькулятора: 100 кг, 0.5 м³, терминал → терминал</t>
        </is>
      </c>
      <c r="J47" s="31" t="n"/>
      <c r="K47" s="31" t="n"/>
      <c r="L47" s="31" t="n"/>
      <c r="M47" s="31" t="inlineStr"/>
      <c r="N47" s="35" t="inlineStr"/>
    </row>
    <row r="48" ht="100" customHeight="1">
      <c r="A48" s="31" t="inlineStr">
        <is>
          <t>Пролайн</t>
        </is>
      </c>
      <c r="B48" s="31" t="inlineStr">
        <is>
          <t>Москва</t>
        </is>
      </c>
      <c r="C48" s="31" t="inlineStr">
        <is>
          <t>Санкт-Петербург</t>
        </is>
      </c>
      <c r="D48" s="35" t="inlineStr">
        <is>
          <t>до 100 кг, до 200 кг, до 250 кг, до 300 кг, до 400 кг, до 500 кг, до 600 кг, до 700 кг, до 750 кг, до 800 кг, до 1000 кг, до 1200 кг, до 1500 кг, до 2000 кг, до 2500 кг, до 3000 кг, до 5000 кг, до 10000 кг, до 20000 кг</t>
        </is>
      </c>
      <c r="E48" s="31" t="n"/>
      <c r="F48" s="31" t="inlineStr">
        <is>
          <t>Проверено при сборе</t>
        </is>
      </c>
      <c r="G48" s="31" t="inlineStr">
        <is>
          <t>2026-09-14T16:04:25-07:00</t>
        </is>
      </c>
      <c r="H48" s="31" t="inlineStr">
        <is>
          <t>https://proline.su/dostavka/sbp-msk/</t>
        </is>
      </c>
      <c r="I48" s="35" t="inlineStr">
        <is>
          <t>Опубликованный тариф по весу; объём и дополнительные услуги не включены</t>
        </is>
      </c>
      <c r="J48" s="31" t="n"/>
      <c r="K48" s="31" t="n"/>
      <c r="L48" s="31" t="inlineStr">
        <is>
          <t>12c54f1e4c5bf5ca08a28d8a43bfa75828c704ccda1d1aa1bdab89d43a995072</t>
        </is>
      </c>
      <c r="M48" s="31" t="inlineStr"/>
      <c r="N48" s="35" t="inlineStr"/>
    </row>
    <row r="49" ht="45" customHeight="1">
      <c r="A49" s="31" t="inlineStr">
        <is>
          <t>Werner</t>
        </is>
      </c>
      <c r="B49" s="31" t="inlineStr">
        <is>
          <t>Москва</t>
        </is>
      </c>
      <c r="C49" s="31" t="inlineStr">
        <is>
          <t>Санкт-Петербург</t>
        </is>
      </c>
      <c r="D49" s="35" t="inlineStr">
        <is>
          <t>до 200 кг</t>
        </is>
      </c>
      <c r="E49" s="31" t="n">
        <v>2650</v>
      </c>
      <c r="F49" s="31" t="inlineStr">
        <is>
          <t>Проверено при сборе</t>
        </is>
      </c>
      <c r="G49" s="31" t="inlineStr">
        <is>
          <t>2026-09-14T16:09:08-07:00</t>
        </is>
      </c>
      <c r="H49" s="31" t="inlineStr">
        <is>
          <t>https://wernerus.ru/api/calc/?method=api_calc&amp;responseFormat=json&amp;depPoint=35&amp;arrPoint=36&amp;cargoMest%5B1%5D=1&amp;cargoKg%5B1%5D=200&amp;cargoL%5B1%5D=1.0000&amp;cargoW%5B1%5D=1.0000&amp;cargoH%5B1%5D=1.0000&amp;cargoCalculation%5B1%5D=1</t>
        </is>
      </c>
      <c r="I49" s="35" t="inlineStr">
        <is>
          <t>Расчёт калькулятора: 200 кг, 1 м³, терминал → терминал</t>
        </is>
      </c>
      <c r="J49" s="31" t="n"/>
      <c r="K49" s="31" t="n"/>
      <c r="L49" s="31" t="n"/>
      <c r="M49" s="31" t="inlineStr"/>
      <c r="N49" s="35" t="inlineStr"/>
    </row>
    <row r="50" ht="45" customHeight="1">
      <c r="A50" s="31" t="inlineStr">
        <is>
          <t>Главтрасса</t>
        </is>
      </c>
      <c r="B50" s="31" t="inlineStr">
        <is>
          <t>Москва</t>
        </is>
      </c>
      <c r="C50" s="31" t="inlineStr">
        <is>
          <t>Санкт-Петербург</t>
        </is>
      </c>
      <c r="D50" s="35" t="inlineStr">
        <is>
          <t>до 200 кг</t>
        </is>
      </c>
      <c r="E50" s="31" t="n">
        <v>2650</v>
      </c>
      <c r="F50" s="31" t="inlineStr">
        <is>
          <t>Проверено при сборе</t>
        </is>
      </c>
      <c r="G50" s="31" t="inlineStr">
        <is>
          <t>2026-09-14T16:04:52-07:00</t>
        </is>
      </c>
      <c r="H50" s="31" t="inlineStr">
        <is>
          <t>https://glavtrassa.ru/api/calc/?method=api_calc&amp;responseFormat=json&amp;depPoint=35&amp;arrPoint=36&amp;cargoMest%5B1%5D=1&amp;cargoKg%5B1%5D=200&amp;cargoL%5B1%5D=1.0000&amp;cargoW%5B1%5D=1.0000&amp;cargoH%5B1%5D=1.0000&amp;cargoCalculation%5B1%5D=1</t>
        </is>
      </c>
      <c r="I50" s="35" t="inlineStr">
        <is>
          <t>Расчёт калькулятора: 200 кг, 1 м³, терминал → терминал</t>
        </is>
      </c>
      <c r="J50" s="31" t="n"/>
      <c r="K50" s="31" t="n"/>
      <c r="L50" s="31" t="n"/>
      <c r="M50" s="31" t="inlineStr"/>
      <c r="N50" s="35" t="inlineStr"/>
    </row>
    <row r="51" ht="45" customHeight="1">
      <c r="A51" s="31" t="inlineStr">
        <is>
          <t>Werner</t>
        </is>
      </c>
      <c r="B51" s="31" t="inlineStr">
        <is>
          <t>Москва</t>
        </is>
      </c>
      <c r="C51" s="31" t="inlineStr">
        <is>
          <t>Санкт-Петербург</t>
        </is>
      </c>
      <c r="D51" s="35" t="inlineStr">
        <is>
          <t>до 250 кг</t>
        </is>
      </c>
      <c r="E51" s="31" t="n">
        <v>3287</v>
      </c>
      <c r="F51" s="31" t="inlineStr">
        <is>
          <t>Проверено при сборе</t>
        </is>
      </c>
      <c r="G51" s="31" t="inlineStr">
        <is>
          <t>2026-09-14T16:09:08-07:00</t>
        </is>
      </c>
      <c r="H51" s="31" t="inlineStr">
        <is>
          <t>https://wernerus.ru/api/calc/?method=api_calc&amp;responseFormat=json&amp;depPoint=35&amp;arrPoint=36&amp;cargoMest%5B1%5D=1&amp;cargoKg%5B1%5D=250&amp;cargoL%5B1%5D=1.0772&amp;cargoW%5B1%5D=1.0772&amp;cargoH%5B1%5D=1.0772&amp;cargoCalculation%5B1%5D=1</t>
        </is>
      </c>
      <c r="I51" s="35" t="inlineStr">
        <is>
          <t>Расчёт калькулятора: 250 кг, 1.25 м³, терминал → терминал</t>
        </is>
      </c>
      <c r="J51" s="31" t="n"/>
      <c r="K51" s="31" t="n"/>
      <c r="L51" s="31" t="n"/>
      <c r="M51" s="31" t="inlineStr"/>
      <c r="N51" s="35" t="inlineStr"/>
    </row>
    <row r="52" ht="45" customHeight="1">
      <c r="A52" s="31" t="inlineStr">
        <is>
          <t>Главтрасса</t>
        </is>
      </c>
      <c r="B52" s="31" t="inlineStr">
        <is>
          <t>Москва</t>
        </is>
      </c>
      <c r="C52" s="31" t="inlineStr">
        <is>
          <t>Санкт-Петербург</t>
        </is>
      </c>
      <c r="D52" s="35" t="inlineStr">
        <is>
          <t>до 250 кг</t>
        </is>
      </c>
      <c r="E52" s="31" t="n">
        <v>3312</v>
      </c>
      <c r="F52" s="31" t="inlineStr">
        <is>
          <t>Проверено при сборе</t>
        </is>
      </c>
      <c r="G52" s="31" t="inlineStr">
        <is>
          <t>2026-09-14T16:04:53-07:00</t>
        </is>
      </c>
      <c r="H52" s="31" t="inlineStr">
        <is>
          <t>https://glavtrassa.ru/api/calc/?method=api_calc&amp;responseFormat=json&amp;depPoint=35&amp;arrPoint=36&amp;cargoMest%5B1%5D=1&amp;cargoKg%5B1%5D=250&amp;cargoL%5B1%5D=1.0772&amp;cargoW%5B1%5D=1.0772&amp;cargoH%5B1%5D=1.0772&amp;cargoCalculation%5B1%5D=1</t>
        </is>
      </c>
      <c r="I52" s="35" t="inlineStr">
        <is>
          <t>Расчёт калькулятора: 250 кг, 1.25 м³, терминал → терминал</t>
        </is>
      </c>
      <c r="J52" s="31" t="n"/>
      <c r="K52" s="31" t="n"/>
      <c r="L52" s="31" t="n"/>
      <c r="M52" s="31" t="inlineStr"/>
      <c r="N52" s="35" t="inlineStr"/>
    </row>
    <row r="53" ht="45" customHeight="1">
      <c r="A53" s="31" t="inlineStr">
        <is>
          <t>Werner</t>
        </is>
      </c>
      <c r="B53" s="31" t="inlineStr">
        <is>
          <t>Москва</t>
        </is>
      </c>
      <c r="C53" s="31" t="inlineStr">
        <is>
          <t>Санкт-Петербург</t>
        </is>
      </c>
      <c r="D53" s="35" t="inlineStr">
        <is>
          <t>до 300 кг</t>
        </is>
      </c>
      <c r="E53" s="31" t="n">
        <v>3925</v>
      </c>
      <c r="F53" s="31" t="inlineStr">
        <is>
          <t>Проверено при сборе</t>
        </is>
      </c>
      <c r="G53" s="31" t="inlineStr">
        <is>
          <t>2026-09-14T16:09:08-07:00</t>
        </is>
      </c>
      <c r="H53" s="31" t="inlineStr">
        <is>
          <t>https://wernerus.ru/api/calc/?method=api_calc&amp;responseFormat=json&amp;depPoint=35&amp;arrPoint=36&amp;cargoMest%5B1%5D=1&amp;cargoKg%5B1%5D=300&amp;cargoL%5B1%5D=1.1447&amp;cargoW%5B1%5D=1.1447&amp;cargoH%5B1%5D=1.1447&amp;cargoCalculation%5B1%5D=1</t>
        </is>
      </c>
      <c r="I53" s="35" t="inlineStr">
        <is>
          <t>Расчёт калькулятора: 300 кг, 1.5 м³, терминал → терминал</t>
        </is>
      </c>
      <c r="J53" s="31" t="n"/>
      <c r="K53" s="31" t="n"/>
      <c r="L53" s="31" t="n"/>
      <c r="M53" s="31" t="inlineStr"/>
      <c r="N53" s="35" t="inlineStr"/>
    </row>
    <row r="54" ht="45" customHeight="1">
      <c r="A54" s="31" t="inlineStr">
        <is>
          <t>Главтрасса</t>
        </is>
      </c>
      <c r="B54" s="31" t="inlineStr">
        <is>
          <t>Москва</t>
        </is>
      </c>
      <c r="C54" s="31" t="inlineStr">
        <is>
          <t>Санкт-Петербург</t>
        </is>
      </c>
      <c r="D54" s="35" t="inlineStr">
        <is>
          <t>до 300 кг</t>
        </is>
      </c>
      <c r="E54" s="31" t="n">
        <v>3975</v>
      </c>
      <c r="F54" s="31" t="inlineStr">
        <is>
          <t>Проверено при сборе</t>
        </is>
      </c>
      <c r="G54" s="31" t="inlineStr">
        <is>
          <t>2026-09-14T16:04:53-07:00</t>
        </is>
      </c>
      <c r="H54" s="31" t="inlineStr">
        <is>
          <t>https://glavtrassa.ru/api/calc/?method=api_calc&amp;responseFormat=json&amp;depPoint=35&amp;arrPoint=36&amp;cargoMest%5B1%5D=1&amp;cargoKg%5B1%5D=300&amp;cargoL%5B1%5D=1.1447&amp;cargoW%5B1%5D=1.1447&amp;cargoH%5B1%5D=1.1447&amp;cargoCalculation%5B1%5D=1</t>
        </is>
      </c>
      <c r="I54" s="35" t="inlineStr">
        <is>
          <t>Расчёт калькулятора: 300 кг, 1.5 м³, терминал → терминал</t>
        </is>
      </c>
      <c r="J54" s="31" t="n"/>
      <c r="K54" s="31" t="n"/>
      <c r="L54" s="31" t="n"/>
      <c r="M54" s="31" t="inlineStr"/>
      <c r="N54" s="35" t="inlineStr"/>
    </row>
    <row r="55" ht="45" customHeight="1">
      <c r="A55" s="31" t="inlineStr">
        <is>
          <t>Werner</t>
        </is>
      </c>
      <c r="B55" s="31" t="inlineStr">
        <is>
          <t>Москва</t>
        </is>
      </c>
      <c r="C55" s="31" t="inlineStr">
        <is>
          <t>Санкт-Петербург</t>
        </is>
      </c>
      <c r="D55" s="35" t="inlineStr">
        <is>
          <t>до 400 кг</t>
        </is>
      </c>
      <c r="E55" s="31" t="n">
        <v>5200</v>
      </c>
      <c r="F55" s="31" t="inlineStr">
        <is>
          <t>Проверено при сборе</t>
        </is>
      </c>
      <c r="G55" s="31" t="inlineStr">
        <is>
          <t>2026-09-14T16:09:09-07:00</t>
        </is>
      </c>
      <c r="H55" s="31" t="inlineStr">
        <is>
          <t>https://wernerus.ru/api/calc/?method=api_calc&amp;responseFormat=json&amp;depPoint=35&amp;arrPoint=36&amp;cargoMest%5B1%5D=1&amp;cargoKg%5B1%5D=400&amp;cargoL%5B1%5D=1.2599&amp;cargoW%5B1%5D=1.2599&amp;cargoH%5B1%5D=1.2599&amp;cargoCalculation%5B1%5D=1</t>
        </is>
      </c>
      <c r="I55" s="35" t="inlineStr">
        <is>
          <t>Расчёт калькулятора: 400 кг, 2 м³, терминал → терминал</t>
        </is>
      </c>
      <c r="J55" s="31" t="n"/>
      <c r="K55" s="31" t="n"/>
      <c r="L55" s="31" t="n"/>
      <c r="M55" s="31" t="inlineStr"/>
      <c r="N55" s="35" t="inlineStr"/>
    </row>
    <row r="56" ht="45" customHeight="1">
      <c r="A56" s="31" t="inlineStr">
        <is>
          <t>Главтрасса</t>
        </is>
      </c>
      <c r="B56" s="31" t="inlineStr">
        <is>
          <t>Москва</t>
        </is>
      </c>
      <c r="C56" s="31" t="inlineStr">
        <is>
          <t>Санкт-Петербург</t>
        </is>
      </c>
      <c r="D56" s="35" t="inlineStr">
        <is>
          <t>до 400 кг</t>
        </is>
      </c>
      <c r="E56" s="31" t="n">
        <v>5300</v>
      </c>
      <c r="F56" s="31" t="inlineStr">
        <is>
          <t>Проверено при сборе</t>
        </is>
      </c>
      <c r="G56" s="31" t="inlineStr">
        <is>
          <t>2026-09-14T16:04:53-07:00</t>
        </is>
      </c>
      <c r="H56" s="31" t="inlineStr">
        <is>
          <t>https://glavtrassa.ru/api/calc/?method=api_calc&amp;responseFormat=json&amp;depPoint=35&amp;arrPoint=36&amp;cargoMest%5B1%5D=1&amp;cargoKg%5B1%5D=400&amp;cargoL%5B1%5D=1.2599&amp;cargoW%5B1%5D=1.2599&amp;cargoH%5B1%5D=1.2599&amp;cargoCalculation%5B1%5D=1</t>
        </is>
      </c>
      <c r="I56" s="35" t="inlineStr">
        <is>
          <t>Расчёт калькулятора: 400 кг, 2 м³, терминал → терминал</t>
        </is>
      </c>
      <c r="J56" s="31" t="n"/>
      <c r="K56" s="31" t="n"/>
      <c r="L56" s="31" t="n"/>
      <c r="M56" s="31" t="inlineStr"/>
      <c r="N56" s="35" t="inlineStr"/>
    </row>
    <row r="57" ht="45" customHeight="1">
      <c r="A57" s="31" t="inlineStr">
        <is>
          <t>Werner</t>
        </is>
      </c>
      <c r="B57" s="31" t="inlineStr">
        <is>
          <t>Москва</t>
        </is>
      </c>
      <c r="C57" s="31" t="inlineStr">
        <is>
          <t>Санкт-Петербург</t>
        </is>
      </c>
      <c r="D57" s="35" t="inlineStr">
        <is>
          <t>до 500 кг</t>
        </is>
      </c>
      <c r="E57" s="31" t="n">
        <v>6475</v>
      </c>
      <c r="F57" s="31" t="inlineStr">
        <is>
          <t>Проверено при сборе</t>
        </is>
      </c>
      <c r="G57" s="31" t="inlineStr">
        <is>
          <t>2026-09-14T16:09:09-07:00</t>
        </is>
      </c>
      <c r="H57" s="31" t="inlineStr">
        <is>
          <t>https://wernerus.ru/api/calc/?method=api_calc&amp;responseFormat=json&amp;depPoint=35&amp;arrPoint=36&amp;cargoMest%5B1%5D=1&amp;cargoKg%5B1%5D=500&amp;cargoL%5B1%5D=1.3572&amp;cargoW%5B1%5D=1.3572&amp;cargoH%5B1%5D=1.3572&amp;cargoCalculation%5B1%5D=1</t>
        </is>
      </c>
      <c r="I57" s="35" t="inlineStr">
        <is>
          <t>Расчёт калькулятора: 500 кг, 2.5 м³, терминал → терминал</t>
        </is>
      </c>
      <c r="J57" s="31" t="n"/>
      <c r="K57" s="31" t="n"/>
      <c r="L57" s="31" t="n"/>
      <c r="M57" s="31" t="inlineStr"/>
      <c r="N57" s="35" t="inlineStr"/>
    </row>
    <row r="58" ht="45" customHeight="1">
      <c r="A58" s="31" t="inlineStr">
        <is>
          <t>Главтрасса</t>
        </is>
      </c>
      <c r="B58" s="31" t="inlineStr">
        <is>
          <t>Москва</t>
        </is>
      </c>
      <c r="C58" s="31" t="inlineStr">
        <is>
          <t>Санкт-Петербург</t>
        </is>
      </c>
      <c r="D58" s="35" t="inlineStr">
        <is>
          <t>до 500 кг</t>
        </is>
      </c>
      <c r="E58" s="31" t="n">
        <v>6625</v>
      </c>
      <c r="F58" s="31" t="inlineStr">
        <is>
          <t>Проверено при сборе</t>
        </is>
      </c>
      <c r="G58" s="31" t="inlineStr">
        <is>
          <t>2026-09-14T16:04:53-07:00</t>
        </is>
      </c>
      <c r="H58" s="31" t="inlineStr">
        <is>
          <t>https://glavtrassa.ru/api/calc/?method=api_calc&amp;responseFormat=json&amp;depPoint=35&amp;arrPoint=36&amp;cargoMest%5B1%5D=1&amp;cargoKg%5B1%5D=500&amp;cargoL%5B1%5D=1.3572&amp;cargoW%5B1%5D=1.3572&amp;cargoH%5B1%5D=1.3572&amp;cargoCalculation%5B1%5D=1</t>
        </is>
      </c>
      <c r="I58" s="35" t="inlineStr">
        <is>
          <t>Расчёт калькулятора: 500 кг, 2.5 м³, терминал → терминал</t>
        </is>
      </c>
      <c r="J58" s="31" t="n"/>
      <c r="K58" s="31" t="n"/>
      <c r="L58" s="31" t="n"/>
      <c r="M58" s="31" t="inlineStr"/>
      <c r="N58" s="35" t="inlineStr"/>
    </row>
    <row r="59" ht="45" customHeight="1">
      <c r="A59" s="31" t="inlineStr">
        <is>
          <t>Werner</t>
        </is>
      </c>
      <c r="B59" s="31" t="inlineStr">
        <is>
          <t>Москва</t>
        </is>
      </c>
      <c r="C59" s="31" t="inlineStr">
        <is>
          <t>Санкт-Петербург</t>
        </is>
      </c>
      <c r="D59" s="35" t="inlineStr">
        <is>
          <t>до 600 кг</t>
        </is>
      </c>
      <c r="E59" s="31" t="n">
        <v>7524</v>
      </c>
      <c r="F59" s="31" t="inlineStr">
        <is>
          <t>Проверено при сборе</t>
        </is>
      </c>
      <c r="G59" s="31" t="inlineStr">
        <is>
          <t>2026-09-14T16:09:10-07:00</t>
        </is>
      </c>
      <c r="H59" s="31" t="inlineStr">
        <is>
          <t>https://wernerus.ru/api/calc/?method=api_calc&amp;responseFormat=json&amp;depPoint=35&amp;arrPoint=36&amp;cargoMest%5B1%5D=1&amp;cargoKg%5B1%5D=600&amp;cargoL%5B1%5D=1.4422&amp;cargoW%5B1%5D=1.4422&amp;cargoH%5B1%5D=1.4422&amp;cargoCalculation%5B1%5D=1</t>
        </is>
      </c>
      <c r="I59" s="35" t="inlineStr">
        <is>
          <t>Расчёт калькулятора: 600 кг, 3 м³, терминал → терминал</t>
        </is>
      </c>
      <c r="J59" s="31" t="n"/>
      <c r="K59" s="31" t="n"/>
      <c r="L59" s="31" t="n"/>
      <c r="M59" s="31" t="inlineStr"/>
      <c r="N59" s="35" t="inlineStr"/>
    </row>
    <row r="60" ht="45" customHeight="1">
      <c r="A60" s="31" t="inlineStr">
        <is>
          <t>Главтрасса</t>
        </is>
      </c>
      <c r="B60" s="31" t="inlineStr">
        <is>
          <t>Москва</t>
        </is>
      </c>
      <c r="C60" s="31" t="inlineStr">
        <is>
          <t>Санкт-Петербург</t>
        </is>
      </c>
      <c r="D60" s="35" t="inlineStr">
        <is>
          <t>до 600 кг</t>
        </is>
      </c>
      <c r="E60" s="31" t="n">
        <v>7799</v>
      </c>
      <c r="F60" s="31" t="inlineStr">
        <is>
          <t>Проверено при сборе</t>
        </is>
      </c>
      <c r="G60" s="31" t="inlineStr">
        <is>
          <t>2026-09-14T16:04:53-07:00</t>
        </is>
      </c>
      <c r="H60" s="31" t="inlineStr">
        <is>
          <t>https://glavtrassa.ru/api/calc/?method=api_calc&amp;responseFormat=json&amp;depPoint=35&amp;arrPoint=36&amp;cargoMest%5B1%5D=1&amp;cargoKg%5B1%5D=600&amp;cargoL%5B1%5D=1.4422&amp;cargoW%5B1%5D=1.4422&amp;cargoH%5B1%5D=1.4422&amp;cargoCalculation%5B1%5D=1</t>
        </is>
      </c>
      <c r="I60" s="35" t="inlineStr">
        <is>
          <t>Расчёт калькулятора: 600 кг, 3 м³, терминал → терминал</t>
        </is>
      </c>
      <c r="J60" s="31" t="n"/>
      <c r="K60" s="31" t="n"/>
      <c r="L60" s="31" t="n"/>
      <c r="M60" s="31" t="inlineStr"/>
      <c r="N60" s="35" t="inlineStr"/>
    </row>
    <row r="61" ht="45" customHeight="1">
      <c r="A61" s="31" t="inlineStr">
        <is>
          <t>Werner</t>
        </is>
      </c>
      <c r="B61" s="31" t="inlineStr">
        <is>
          <t>Москва</t>
        </is>
      </c>
      <c r="C61" s="31" t="inlineStr">
        <is>
          <t>Санкт-Петербург</t>
        </is>
      </c>
      <c r="D61" s="35" t="inlineStr">
        <is>
          <t>до 700 кг</t>
        </is>
      </c>
      <c r="E61" s="31" t="n">
        <v>8763</v>
      </c>
      <c r="F61" s="31" t="inlineStr">
        <is>
          <t>Проверено при сборе</t>
        </is>
      </c>
      <c r="G61" s="31" t="inlineStr">
        <is>
          <t>2026-09-14T16:09:10-07:00</t>
        </is>
      </c>
      <c r="H61" s="31" t="inlineStr">
        <is>
          <t>https://wernerus.ru/api/calc/?method=api_calc&amp;responseFormat=json&amp;depPoint=35&amp;arrPoint=36&amp;cargoMest%5B1%5D=1&amp;cargoKg%5B1%5D=700&amp;cargoL%5B1%5D=1.5183&amp;cargoW%5B1%5D=1.5183&amp;cargoH%5B1%5D=1.5183&amp;cargoCalculation%5B1%5D=1</t>
        </is>
      </c>
      <c r="I61" s="35" t="inlineStr">
        <is>
          <t>Расчёт калькулятора: 700 кг, 3.5 м³, терминал → терминал</t>
        </is>
      </c>
      <c r="J61" s="31" t="n"/>
      <c r="K61" s="31" t="n"/>
      <c r="L61" s="31" t="n"/>
      <c r="M61" s="31" t="inlineStr"/>
      <c r="N61" s="35" t="inlineStr"/>
    </row>
    <row r="62" ht="45" customHeight="1">
      <c r="A62" s="31" t="inlineStr">
        <is>
          <t>Главтрасса</t>
        </is>
      </c>
      <c r="B62" s="31" t="inlineStr">
        <is>
          <t>Москва</t>
        </is>
      </c>
      <c r="C62" s="31" t="inlineStr">
        <is>
          <t>Санкт-Петербург</t>
        </is>
      </c>
      <c r="D62" s="35" t="inlineStr">
        <is>
          <t>до 700 кг</t>
        </is>
      </c>
      <c r="E62" s="31" t="n">
        <v>9100</v>
      </c>
      <c r="F62" s="31" t="inlineStr">
        <is>
          <t>Проверено при сборе</t>
        </is>
      </c>
      <c r="G62" s="31" t="inlineStr">
        <is>
          <t>2026-09-14T16:04:54-07:00</t>
        </is>
      </c>
      <c r="H62" s="31" t="inlineStr">
        <is>
          <t>https://glavtrassa.ru/api/calc/?method=api_calc&amp;responseFormat=json&amp;depPoint=35&amp;arrPoint=36&amp;cargoMest%5B1%5D=1&amp;cargoKg%5B1%5D=700&amp;cargoL%5B1%5D=1.5183&amp;cargoW%5B1%5D=1.5183&amp;cargoH%5B1%5D=1.5183&amp;cargoCalculation%5B1%5D=1</t>
        </is>
      </c>
      <c r="I62" s="35" t="inlineStr">
        <is>
          <t>Расчёт калькулятора: 700 кг, 3.5 м³, терминал → терминал</t>
        </is>
      </c>
      <c r="J62" s="31" t="n"/>
      <c r="K62" s="31" t="n"/>
      <c r="L62" s="31" t="n"/>
      <c r="M62" s="31" t="inlineStr"/>
      <c r="N62" s="35" t="inlineStr"/>
    </row>
    <row r="63" ht="45" customHeight="1">
      <c r="A63" s="31" t="inlineStr">
        <is>
          <t>Werner</t>
        </is>
      </c>
      <c r="B63" s="31" t="inlineStr">
        <is>
          <t>Москва</t>
        </is>
      </c>
      <c r="C63" s="31" t="inlineStr">
        <is>
          <t>Санкт-Петербург</t>
        </is>
      </c>
      <c r="D63" s="35" t="inlineStr">
        <is>
          <t>до 750 кг</t>
        </is>
      </c>
      <c r="E63" s="31" t="n">
        <v>9381</v>
      </c>
      <c r="F63" s="31" t="inlineStr">
        <is>
          <t>Проверено при сборе</t>
        </is>
      </c>
      <c r="G63" s="31" t="inlineStr">
        <is>
          <t>2026-09-14T16:09:10-07:00</t>
        </is>
      </c>
      <c r="H63" s="31" t="inlineStr">
        <is>
          <t>https://wernerus.ru/api/calc/?method=api_calc&amp;responseFormat=json&amp;depPoint=35&amp;arrPoint=36&amp;cargoMest%5B1%5D=1&amp;cargoKg%5B1%5D=750&amp;cargoL%5B1%5D=1.5536&amp;cargoW%5B1%5D=1.5536&amp;cargoH%5B1%5D=1.5536&amp;cargoCalculation%5B1%5D=1</t>
        </is>
      </c>
      <c r="I63" s="35" t="inlineStr">
        <is>
          <t>Расчёт калькулятора: 750 кг, 3.75 м³, терминал → терминал</t>
        </is>
      </c>
      <c r="J63" s="31" t="n"/>
      <c r="K63" s="31" t="n"/>
      <c r="L63" s="31" t="n"/>
      <c r="M63" s="31" t="inlineStr"/>
      <c r="N63" s="35" t="inlineStr"/>
    </row>
    <row r="64" ht="45" customHeight="1">
      <c r="A64" s="31" t="inlineStr">
        <is>
          <t>Главтрасса</t>
        </is>
      </c>
      <c r="B64" s="31" t="inlineStr">
        <is>
          <t>Москва</t>
        </is>
      </c>
      <c r="C64" s="31" t="inlineStr">
        <is>
          <t>Санкт-Петербург</t>
        </is>
      </c>
      <c r="D64" s="35" t="inlineStr">
        <is>
          <t>до 750 кг</t>
        </is>
      </c>
      <c r="E64" s="31" t="n">
        <v>9750</v>
      </c>
      <c r="F64" s="31" t="inlineStr">
        <is>
          <t>Проверено при сборе</t>
        </is>
      </c>
      <c r="G64" s="31" t="inlineStr">
        <is>
          <t>2026-09-14T16:04:54-07:00</t>
        </is>
      </c>
      <c r="H64" s="31" t="inlineStr">
        <is>
          <t>https://glavtrassa.ru/api/calc/?method=api_calc&amp;responseFormat=json&amp;depPoint=35&amp;arrPoint=36&amp;cargoMest%5B1%5D=1&amp;cargoKg%5B1%5D=750&amp;cargoL%5B1%5D=1.5536&amp;cargoW%5B1%5D=1.5536&amp;cargoH%5B1%5D=1.5536&amp;cargoCalculation%5B1%5D=1</t>
        </is>
      </c>
      <c r="I64" s="35" t="inlineStr">
        <is>
          <t>Расчёт калькулятора: 750 кг, 3.75 м³, терминал → терминал</t>
        </is>
      </c>
      <c r="J64" s="31" t="n"/>
      <c r="K64" s="31" t="n"/>
      <c r="L64" s="31" t="n"/>
      <c r="M64" s="31" t="inlineStr"/>
      <c r="N64" s="35" t="inlineStr"/>
    </row>
    <row r="65" ht="45" customHeight="1">
      <c r="A65" s="31" t="inlineStr">
        <is>
          <t>Werner</t>
        </is>
      </c>
      <c r="B65" s="31" t="inlineStr">
        <is>
          <t>Москва</t>
        </is>
      </c>
      <c r="C65" s="31" t="inlineStr">
        <is>
          <t>Санкт-Петербург</t>
        </is>
      </c>
      <c r="D65" s="35" t="inlineStr">
        <is>
          <t>до 800 кг</t>
        </is>
      </c>
      <c r="E65" s="31" t="n">
        <v>10000</v>
      </c>
      <c r="F65" s="31" t="inlineStr">
        <is>
          <t>Проверено при сборе</t>
        </is>
      </c>
      <c r="G65" s="31" t="inlineStr">
        <is>
          <t>2026-09-14T16:09:10-07:00</t>
        </is>
      </c>
      <c r="H65" s="31" t="inlineStr">
        <is>
          <t>https://wernerus.ru/api/calc/?method=api_calc&amp;responseFormat=json&amp;depPoint=35&amp;arrPoint=36&amp;cargoMest%5B1%5D=1&amp;cargoKg%5B1%5D=800&amp;cargoL%5B1%5D=1.5874&amp;cargoW%5B1%5D=1.5874&amp;cargoH%5B1%5D=1.5874&amp;cargoCalculation%5B1%5D=1</t>
        </is>
      </c>
      <c r="I65" s="35" t="inlineStr">
        <is>
          <t>Расчёт калькулятора: 800 кг, 4 м³, терминал → терминал</t>
        </is>
      </c>
      <c r="J65" s="31" t="n"/>
      <c r="K65" s="31" t="n"/>
      <c r="L65" s="31" t="n"/>
      <c r="M65" s="31" t="inlineStr"/>
      <c r="N65" s="35" t="inlineStr"/>
    </row>
    <row r="66" ht="45" customHeight="1">
      <c r="A66" s="31" t="inlineStr">
        <is>
          <t>Главтрасса</t>
        </is>
      </c>
      <c r="B66" s="31" t="inlineStr">
        <is>
          <t>Москва</t>
        </is>
      </c>
      <c r="C66" s="31" t="inlineStr">
        <is>
          <t>Санкт-Петербург</t>
        </is>
      </c>
      <c r="D66" s="35" t="inlineStr">
        <is>
          <t>до 800 кг</t>
        </is>
      </c>
      <c r="E66" s="31" t="n">
        <v>10400</v>
      </c>
      <c r="F66" s="31" t="inlineStr">
        <is>
          <t>Проверено при сборе</t>
        </is>
      </c>
      <c r="G66" s="31" t="inlineStr">
        <is>
          <t>2026-09-14T16:04:54-07:00</t>
        </is>
      </c>
      <c r="H66" s="31" t="inlineStr">
        <is>
          <t>https://glavtrassa.ru/api/calc/?method=api_calc&amp;responseFormat=json&amp;depPoint=35&amp;arrPoint=36&amp;cargoMest%5B1%5D=1&amp;cargoKg%5B1%5D=800&amp;cargoL%5B1%5D=1.5874&amp;cargoW%5B1%5D=1.5874&amp;cargoH%5B1%5D=1.5874&amp;cargoCalculation%5B1%5D=1</t>
        </is>
      </c>
      <c r="I66" s="35" t="inlineStr">
        <is>
          <t>Расчёт калькулятора: 800 кг, 4 м³, терминал → терминал</t>
        </is>
      </c>
      <c r="J66" s="31" t="n"/>
      <c r="K66" s="31" t="n"/>
      <c r="L66" s="31" t="n"/>
      <c r="M66" s="31" t="inlineStr"/>
      <c r="N66" s="35" t="inlineStr"/>
    </row>
    <row r="67" ht="45" customHeight="1">
      <c r="A67" s="31" t="inlineStr">
        <is>
          <t>Werner</t>
        </is>
      </c>
      <c r="B67" s="31" t="inlineStr">
        <is>
          <t>Москва</t>
        </is>
      </c>
      <c r="C67" s="31" t="inlineStr">
        <is>
          <t>Санкт-Петербург</t>
        </is>
      </c>
      <c r="D67" s="35" t="inlineStr">
        <is>
          <t>до 1000 кг</t>
        </is>
      </c>
      <c r="E67" s="31" t="n">
        <v>11851</v>
      </c>
      <c r="F67" s="31" t="inlineStr">
        <is>
          <t>Проверено при сборе</t>
        </is>
      </c>
      <c r="G67" s="31" t="inlineStr">
        <is>
          <t>2026-09-14T16:09:11-07:00</t>
        </is>
      </c>
      <c r="H67" s="31" t="inlineStr">
        <is>
          <t>https://wernerus.ru/api/calc/?method=api_calc&amp;responseFormat=json&amp;depPoint=35&amp;arrPoint=36&amp;cargoMest%5B1%5D=1&amp;cargoKg%5B1%5D=1000&amp;cargoL%5B1%5D=1.7100&amp;cargoW%5B1%5D=1.7100&amp;cargoH%5B1%5D=1.7100&amp;cargoCalculation%5B1%5D=1</t>
        </is>
      </c>
      <c r="I67" s="35" t="inlineStr">
        <is>
          <t>Расчёт калькулятора: 1000 кг, 5 м³, терминал → терминал</t>
        </is>
      </c>
      <c r="J67" s="31" t="n"/>
      <c r="K67" s="31" t="n"/>
      <c r="L67" s="31" t="n"/>
      <c r="M67" s="31" t="inlineStr"/>
      <c r="N67" s="35" t="inlineStr"/>
    </row>
    <row r="68" ht="45" customHeight="1">
      <c r="A68" s="31" t="inlineStr">
        <is>
          <t>Главтрасса</t>
        </is>
      </c>
      <c r="B68" s="31" t="inlineStr">
        <is>
          <t>Москва</t>
        </is>
      </c>
      <c r="C68" s="31" t="inlineStr">
        <is>
          <t>Санкт-Петербург</t>
        </is>
      </c>
      <c r="D68" s="35" t="inlineStr">
        <is>
          <t>до 1000 кг</t>
        </is>
      </c>
      <c r="E68" s="31" t="n">
        <v>15626</v>
      </c>
      <c r="F68" s="31" t="inlineStr">
        <is>
          <t>Проверено при сборе</t>
        </is>
      </c>
      <c r="G68" s="31" t="inlineStr">
        <is>
          <t>2026-09-14T16:04:54-07:00</t>
        </is>
      </c>
      <c r="H68" s="31" t="inlineStr">
        <is>
          <t>https://glavtrassa.ru/api/calc/?method=api_calc&amp;responseFormat=json&amp;depPoint=35&amp;arrPoint=36&amp;cargoMest%5B1%5D=1&amp;cargoKg%5B1%5D=1000&amp;cargoL%5B1%5D=1.7100&amp;cargoW%5B1%5D=1.7100&amp;cargoH%5B1%5D=1.7100&amp;cargoCalculation%5B1%5D=1</t>
        </is>
      </c>
      <c r="I68" s="35" t="inlineStr">
        <is>
          <t>Расчёт калькулятора: 1000 кг, 5 м³, терминал → терминал</t>
        </is>
      </c>
      <c r="J68" s="31" t="n"/>
      <c r="K68" s="31" t="n"/>
      <c r="L68" s="31" t="n"/>
      <c r="M68" s="31" t="inlineStr"/>
      <c r="N68" s="35" t="inlineStr"/>
    </row>
    <row r="69" ht="45" customHeight="1">
      <c r="A69" s="31" t="inlineStr">
        <is>
          <t>Werner</t>
        </is>
      </c>
      <c r="B69" s="31" t="inlineStr">
        <is>
          <t>Москва</t>
        </is>
      </c>
      <c r="C69" s="31" t="inlineStr">
        <is>
          <t>Санкт-Петербург</t>
        </is>
      </c>
      <c r="D69" s="35" t="inlineStr">
        <is>
          <t>до 1200 кг</t>
        </is>
      </c>
      <c r="E69" s="31" t="n">
        <v>14200</v>
      </c>
      <c r="F69" s="31" t="inlineStr">
        <is>
          <t>Проверено при сборе</t>
        </is>
      </c>
      <c r="G69" s="31" t="inlineStr">
        <is>
          <t>2026-09-14T16:09:11-07:00</t>
        </is>
      </c>
      <c r="H69" s="31" t="inlineStr">
        <is>
          <t>https://wernerus.ru/api/calc/?method=api_calc&amp;responseFormat=json&amp;depPoint=35&amp;arrPoint=36&amp;cargoMest%5B1%5D=1&amp;cargoKg%5B1%5D=1200&amp;cargoL%5B1%5D=1.8171&amp;cargoW%5B1%5D=1.8171&amp;cargoH%5B1%5D=1.8171&amp;cargoCalculation%5B1%5D=1</t>
        </is>
      </c>
      <c r="I69" s="35" t="inlineStr">
        <is>
          <t>Расчёт калькулятора: 1200 кг, 6 м³, терминал → терминал</t>
        </is>
      </c>
      <c r="J69" s="31" t="n"/>
      <c r="K69" s="31" t="n"/>
      <c r="L69" s="31" t="n"/>
      <c r="M69" s="31" t="inlineStr"/>
      <c r="N69" s="35" t="inlineStr"/>
    </row>
    <row r="70" ht="45" customHeight="1">
      <c r="A70" s="31" t="inlineStr">
        <is>
          <t>Главтрасса</t>
        </is>
      </c>
      <c r="B70" s="31" t="inlineStr">
        <is>
          <t>Москва</t>
        </is>
      </c>
      <c r="C70" s="31" t="inlineStr">
        <is>
          <t>Санкт-Петербург</t>
        </is>
      </c>
      <c r="D70" s="35" t="inlineStr">
        <is>
          <t>до 1200 кг</t>
        </is>
      </c>
      <c r="E70" s="31" t="n">
        <v>18749</v>
      </c>
      <c r="F70" s="31" t="inlineStr">
        <is>
          <t>Проверено при сборе</t>
        </is>
      </c>
      <c r="G70" s="31" t="inlineStr">
        <is>
          <t>2026-09-14T16:04:54-07:00</t>
        </is>
      </c>
      <c r="H70" s="31" t="inlineStr">
        <is>
          <t>https://glavtrassa.ru/api/calc/?method=api_calc&amp;responseFormat=json&amp;depPoint=35&amp;arrPoint=36&amp;cargoMest%5B1%5D=1&amp;cargoKg%5B1%5D=1200&amp;cargoL%5B1%5D=1.8171&amp;cargoW%5B1%5D=1.8171&amp;cargoH%5B1%5D=1.8171&amp;cargoCalculation%5B1%5D=1</t>
        </is>
      </c>
      <c r="I70" s="35" t="inlineStr">
        <is>
          <t>Расчёт калькулятора: 1200 кг, 6 м³, терминал → терминал</t>
        </is>
      </c>
      <c r="J70" s="31" t="n"/>
      <c r="K70" s="31" t="n"/>
      <c r="L70" s="31" t="n"/>
      <c r="M70" s="31" t="inlineStr"/>
      <c r="N70" s="35" t="inlineStr"/>
    </row>
    <row r="71" ht="45" customHeight="1">
      <c r="A71" s="31" t="inlineStr">
        <is>
          <t>Werner</t>
        </is>
      </c>
      <c r="B71" s="31" t="inlineStr">
        <is>
          <t>Москва</t>
        </is>
      </c>
      <c r="C71" s="31" t="inlineStr">
        <is>
          <t>Санкт-Петербург</t>
        </is>
      </c>
      <c r="D71" s="35" t="inlineStr">
        <is>
          <t>до 1500 кг</t>
        </is>
      </c>
      <c r="E71" s="31" t="n">
        <v>17724</v>
      </c>
      <c r="F71" s="31" t="inlineStr">
        <is>
          <t>Проверено при сборе</t>
        </is>
      </c>
      <c r="G71" s="31" t="inlineStr">
        <is>
          <t>2026-09-14T16:09:11-07:00</t>
        </is>
      </c>
      <c r="H71" s="31" t="inlineStr">
        <is>
          <t>https://wernerus.ru/api/calc/?method=api_calc&amp;responseFormat=json&amp;depPoint=35&amp;arrPoint=36&amp;cargoMest%5B1%5D=1&amp;cargoKg%5B1%5D=1500&amp;cargoL%5B1%5D=1.9574&amp;cargoW%5B1%5D=1.9574&amp;cargoH%5B1%5D=1.9574&amp;cargoCalculation%5B1%5D=1</t>
        </is>
      </c>
      <c r="I71" s="35" t="inlineStr">
        <is>
          <t>Расчёт калькулятора: 1500 кг, 7.5 м³, терминал → терминал</t>
        </is>
      </c>
      <c r="J71" s="31" t="n"/>
      <c r="K71" s="31" t="n"/>
      <c r="L71" s="31" t="n"/>
      <c r="M71" s="31" t="inlineStr"/>
      <c r="N71" s="35" t="inlineStr"/>
    </row>
    <row r="72" ht="45" customHeight="1">
      <c r="A72" s="31" t="inlineStr">
        <is>
          <t>Главтрасса</t>
        </is>
      </c>
      <c r="B72" s="31" t="inlineStr">
        <is>
          <t>Москва</t>
        </is>
      </c>
      <c r="C72" s="31" t="inlineStr">
        <is>
          <t>Санкт-Петербург</t>
        </is>
      </c>
      <c r="D72" s="35" t="inlineStr">
        <is>
          <t>до 1500 кг</t>
        </is>
      </c>
      <c r="E72" s="31" t="n">
        <v>23436</v>
      </c>
      <c r="F72" s="31" t="inlineStr">
        <is>
          <t>Проверено при сборе</t>
        </is>
      </c>
      <c r="G72" s="31" t="inlineStr">
        <is>
          <t>2026-09-14T16:04:55-07:00</t>
        </is>
      </c>
      <c r="H72" s="31" t="inlineStr">
        <is>
          <t>https://glavtrassa.ru/api/calc/?method=api_calc&amp;responseFormat=json&amp;depPoint=35&amp;arrPoint=36&amp;cargoMest%5B1%5D=1&amp;cargoKg%5B1%5D=1500&amp;cargoL%5B1%5D=1.9574&amp;cargoW%5B1%5D=1.9574&amp;cargoH%5B1%5D=1.9574&amp;cargoCalculation%5B1%5D=1</t>
        </is>
      </c>
      <c r="I72" s="35" t="inlineStr">
        <is>
          <t>Расчёт калькулятора: 1500 кг, 7.5 м³, терминал → терминал</t>
        </is>
      </c>
      <c r="J72" s="31" t="n"/>
      <c r="K72" s="31" t="n"/>
      <c r="L72" s="31" t="n"/>
      <c r="M72" s="31" t="inlineStr"/>
      <c r="N72" s="35" t="inlineStr"/>
    </row>
    <row r="73" ht="45" customHeight="1">
      <c r="A73" s="31" t="inlineStr">
        <is>
          <t>Werner</t>
        </is>
      </c>
      <c r="B73" s="31" t="inlineStr">
        <is>
          <t>Москва</t>
        </is>
      </c>
      <c r="C73" s="31" t="inlineStr">
        <is>
          <t>Санкт-Петербург</t>
        </is>
      </c>
      <c r="D73" s="35" t="inlineStr">
        <is>
          <t>до 2000 кг</t>
        </is>
      </c>
      <c r="E73" s="31" t="n">
        <v>22349</v>
      </c>
      <c r="F73" s="31" t="inlineStr">
        <is>
          <t>Проверено при сборе</t>
        </is>
      </c>
      <c r="G73" s="31" t="inlineStr">
        <is>
          <t>2026-09-14T16:09:11-07:00</t>
        </is>
      </c>
      <c r="H73" s="31" t="inlineStr">
        <is>
          <t>https://wernerus.ru/api/calc/?method=api_calc&amp;responseFormat=json&amp;depPoint=35&amp;arrPoint=36&amp;cargoMest%5B1%5D=1&amp;cargoKg%5B1%5D=2000&amp;cargoL%5B1%5D=2.1544&amp;cargoW%5B1%5D=2.1544&amp;cargoH%5B1%5D=2.1544&amp;cargoCalculation%5B1%5D=1</t>
        </is>
      </c>
      <c r="I73" s="35" t="inlineStr">
        <is>
          <t>Расчёт калькулятора: 2000 кг, 10 м³, терминал → терминал</t>
        </is>
      </c>
      <c r="J73" s="31" t="n"/>
      <c r="K73" s="31" t="n"/>
      <c r="L73" s="31" t="n"/>
      <c r="M73" s="31" t="inlineStr"/>
      <c r="N73" s="35" t="inlineStr"/>
    </row>
    <row r="74" ht="45" customHeight="1">
      <c r="A74" s="31" t="inlineStr">
        <is>
          <t>Главтрасса</t>
        </is>
      </c>
      <c r="B74" s="31" t="inlineStr">
        <is>
          <t>Москва</t>
        </is>
      </c>
      <c r="C74" s="31" t="inlineStr">
        <is>
          <t>Санкт-Петербург</t>
        </is>
      </c>
      <c r="D74" s="35" t="inlineStr">
        <is>
          <t>до 2000 кг</t>
        </is>
      </c>
      <c r="E74" s="31" t="n">
        <v>29999</v>
      </c>
      <c r="F74" s="31" t="inlineStr">
        <is>
          <t>Проверено при сборе</t>
        </is>
      </c>
      <c r="G74" s="31" t="inlineStr">
        <is>
          <t>2026-09-14T16:04:55-07:00</t>
        </is>
      </c>
      <c r="H74" s="31" t="inlineStr">
        <is>
          <t>https://glavtrassa.ru/api/calc/?method=api_calc&amp;responseFormat=json&amp;depPoint=35&amp;arrPoint=36&amp;cargoMest%5B1%5D=1&amp;cargoKg%5B1%5D=2000&amp;cargoL%5B1%5D=2.1544&amp;cargoW%5B1%5D=2.1544&amp;cargoH%5B1%5D=2.1544&amp;cargoCalculation%5B1%5D=1</t>
        </is>
      </c>
      <c r="I74" s="35" t="inlineStr">
        <is>
          <t>Расчёт калькулятора: 2000 кг, 10 м³, терминал → терминал</t>
        </is>
      </c>
      <c r="J74" s="31" t="n"/>
      <c r="K74" s="31" t="n"/>
      <c r="L74" s="31" t="n"/>
      <c r="M74" s="31" t="inlineStr"/>
      <c r="N74" s="35" t="inlineStr"/>
    </row>
    <row r="75" ht="45" customHeight="1">
      <c r="A75" s="31" t="inlineStr">
        <is>
          <t>Werner</t>
        </is>
      </c>
      <c r="B75" s="31" t="inlineStr">
        <is>
          <t>Москва</t>
        </is>
      </c>
      <c r="C75" s="31" t="inlineStr">
        <is>
          <t>Санкт-Петербург</t>
        </is>
      </c>
      <c r="D75" s="35" t="inlineStr">
        <is>
          <t>до 2500 кг</t>
        </is>
      </c>
      <c r="E75" s="31" t="n">
        <v>27913</v>
      </c>
      <c r="F75" s="31" t="inlineStr">
        <is>
          <t>Проверено при сборе</t>
        </is>
      </c>
      <c r="G75" s="31" t="inlineStr">
        <is>
          <t>2026-09-14T16:09:12-07:00</t>
        </is>
      </c>
      <c r="H75" s="31" t="inlineStr">
        <is>
          <t>https://wernerus.ru/api/calc/?method=api_calc&amp;responseFormat=json&amp;depPoint=35&amp;arrPoint=36&amp;cargoMest%5B1%5D=1&amp;cargoKg%5B1%5D=2500&amp;cargoL%5B1%5D=2.3208&amp;cargoW%5B1%5D=2.3208&amp;cargoH%5B1%5D=2.3208&amp;cargoCalculation%5B1%5D=1</t>
        </is>
      </c>
      <c r="I75" s="35" t="inlineStr">
        <is>
          <t>Расчёт калькулятора: 2500 кг, 12.5 м³, терминал → терминал</t>
        </is>
      </c>
      <c r="J75" s="31" t="n"/>
      <c r="K75" s="31" t="n"/>
      <c r="L75" s="31" t="n"/>
      <c r="M75" s="31" t="inlineStr"/>
      <c r="N75" s="35" t="inlineStr"/>
    </row>
    <row r="76" ht="45" customHeight="1">
      <c r="A76" s="31" t="inlineStr">
        <is>
          <t>Главтрасса</t>
        </is>
      </c>
      <c r="B76" s="31" t="inlineStr">
        <is>
          <t>Москва</t>
        </is>
      </c>
      <c r="C76" s="31" t="inlineStr">
        <is>
          <t>Санкт-Петербург</t>
        </is>
      </c>
      <c r="D76" s="35" t="inlineStr">
        <is>
          <t>до 2500 кг</t>
        </is>
      </c>
      <c r="E76" s="31" t="n">
        <v>37500</v>
      </c>
      <c r="F76" s="31" t="inlineStr">
        <is>
          <t>Проверено при сборе</t>
        </is>
      </c>
      <c r="G76" s="31" t="inlineStr">
        <is>
          <t>2026-09-14T16:05:12-07:00</t>
        </is>
      </c>
      <c r="H76" s="31" t="inlineStr">
        <is>
          <t>https://glavtrassa.ru/api/calc/?method=api_calc&amp;responseFormat=json&amp;depPoint=35&amp;arrPoint=36&amp;cargoMest%5B1%5D=1&amp;cargoKg%5B1%5D=2500&amp;cargoL%5B1%5D=2.3208&amp;cargoW%5B1%5D=2.3208&amp;cargoH%5B1%5D=2.3208&amp;cargoCalculation%5B1%5D=1</t>
        </is>
      </c>
      <c r="I76" s="35" t="inlineStr">
        <is>
          <t>Расчёт калькулятора: 2500 кг, 12.5 м³, терминал → терминал</t>
        </is>
      </c>
      <c r="J76" s="31" t="n"/>
      <c r="K76" s="31" t="n"/>
      <c r="L76" s="31" t="n"/>
      <c r="M76" s="31" t="inlineStr"/>
      <c r="N76" s="35" t="inlineStr"/>
    </row>
    <row r="77" ht="45" customHeight="1">
      <c r="A77" s="31" t="inlineStr">
        <is>
          <t>Werner</t>
        </is>
      </c>
      <c r="B77" s="31" t="inlineStr">
        <is>
          <t>Москва</t>
        </is>
      </c>
      <c r="C77" s="31" t="inlineStr">
        <is>
          <t>Санкт-Петербург</t>
        </is>
      </c>
      <c r="D77" s="35" t="inlineStr">
        <is>
          <t>до 3000 кг</t>
        </is>
      </c>
      <c r="E77" s="31" t="n">
        <v>33100</v>
      </c>
      <c r="F77" s="31" t="inlineStr">
        <is>
          <t>Проверено при сборе</t>
        </is>
      </c>
      <c r="G77" s="31" t="inlineStr">
        <is>
          <t>2026-09-14T16:09:12-07:00</t>
        </is>
      </c>
      <c r="H77" s="31" t="inlineStr">
        <is>
          <t>https://wernerus.ru/api/calc/?method=api_calc&amp;responseFormat=json&amp;depPoint=35&amp;arrPoint=36&amp;cargoMest%5B1%5D=1&amp;cargoKg%5B1%5D=3000&amp;cargoL%5B1%5D=2.4662&amp;cargoW%5B1%5D=2.4662&amp;cargoH%5B1%5D=2.4662&amp;cargoCalculation%5B1%5D=1</t>
        </is>
      </c>
      <c r="I77" s="35" t="inlineStr">
        <is>
          <t>Расчёт калькулятора: 3000 кг, 15 м³, терминал → терминал</t>
        </is>
      </c>
      <c r="J77" s="31" t="n"/>
      <c r="K77" s="31" t="n"/>
      <c r="L77" s="31" t="n"/>
      <c r="M77" s="31" t="inlineStr"/>
      <c r="N77" s="35" t="inlineStr"/>
    </row>
    <row r="78" ht="45" customHeight="1">
      <c r="A78" s="31" t="inlineStr">
        <is>
          <t>Главтрасса</t>
        </is>
      </c>
      <c r="B78" s="31" t="inlineStr">
        <is>
          <t>Москва</t>
        </is>
      </c>
      <c r="C78" s="31" t="inlineStr">
        <is>
          <t>Санкт-Петербург</t>
        </is>
      </c>
      <c r="D78" s="35" t="inlineStr">
        <is>
          <t>до 3000 кг</t>
        </is>
      </c>
      <c r="E78" s="31" t="n">
        <v>43124</v>
      </c>
      <c r="F78" s="31" t="inlineStr">
        <is>
          <t>Проверено при сборе</t>
        </is>
      </c>
      <c r="G78" s="31" t="inlineStr">
        <is>
          <t>2026-09-14T16:05:13-07:00</t>
        </is>
      </c>
      <c r="H78" s="31" t="inlineStr">
        <is>
          <t>https://glavtrassa.ru/api/calc/?method=api_calc&amp;responseFormat=json&amp;depPoint=35&amp;arrPoint=36&amp;cargoMest%5B1%5D=1&amp;cargoKg%5B1%5D=3000&amp;cargoL%5B1%5D=2.4662&amp;cargoW%5B1%5D=2.4662&amp;cargoH%5B1%5D=2.4662&amp;cargoCalculation%5B1%5D=1</t>
        </is>
      </c>
      <c r="I78" s="35" t="inlineStr">
        <is>
          <t>Расчёт калькулятора: 3000 кг, 15 м³, терминал → терминал</t>
        </is>
      </c>
      <c r="J78" s="31" t="n"/>
      <c r="K78" s="31" t="n"/>
      <c r="L78" s="31" t="n"/>
      <c r="M78" s="31" t="inlineStr"/>
      <c r="N78" s="35" t="inlineStr"/>
    </row>
    <row r="79" ht="45" customHeight="1">
      <c r="A79" s="31" t="inlineStr">
        <is>
          <t>Werner</t>
        </is>
      </c>
      <c r="B79" s="31" t="inlineStr">
        <is>
          <t>Москва</t>
        </is>
      </c>
      <c r="C79" s="31" t="inlineStr">
        <is>
          <t>Санкт-Петербург</t>
        </is>
      </c>
      <c r="D79" s="35" t="inlineStr">
        <is>
          <t>до 5000 кг</t>
        </is>
      </c>
      <c r="E79" s="31" t="n">
        <v>55099</v>
      </c>
      <c r="F79" s="31" t="inlineStr">
        <is>
          <t>Проверено при сборе</t>
        </is>
      </c>
      <c r="G79" s="31" t="inlineStr">
        <is>
          <t>2026-09-14T16:09:12-07:00</t>
        </is>
      </c>
      <c r="H79" s="31" t="inlineStr">
        <is>
          <t>https://wernerus.ru/api/calc/?method=api_calc&amp;responseFormat=json&amp;depPoint=35&amp;arrPoint=36&amp;cargoMest%5B1%5D=1&amp;cargoKg%5B1%5D=5000&amp;cargoL%5B1%5D=2.9240&amp;cargoW%5B1%5D=2.9240&amp;cargoH%5B1%5D=2.9240&amp;cargoCalculation%5B1%5D=1</t>
        </is>
      </c>
      <c r="I79" s="35" t="inlineStr">
        <is>
          <t>Расчёт калькулятора: 5000 кг, 25 м³, терминал → терминал</t>
        </is>
      </c>
      <c r="J79" s="31" t="n"/>
      <c r="K79" s="31" t="n"/>
      <c r="L79" s="31" t="n"/>
      <c r="M79" s="31" t="inlineStr"/>
      <c r="N79" s="35" t="inlineStr"/>
    </row>
    <row r="80" ht="45" customHeight="1">
      <c r="A80" s="31" t="inlineStr">
        <is>
          <t>Главтрасса</t>
        </is>
      </c>
      <c r="B80" s="31" t="inlineStr">
        <is>
          <t>Москва</t>
        </is>
      </c>
      <c r="C80" s="31" t="inlineStr">
        <is>
          <t>Санкт-Петербург</t>
        </is>
      </c>
      <c r="D80" s="35" t="inlineStr">
        <is>
          <t>до 5000 кг</t>
        </is>
      </c>
      <c r="E80" s="31" t="n">
        <v>71874</v>
      </c>
      <c r="F80" s="31" t="inlineStr">
        <is>
          <t>Проверено при сборе</t>
        </is>
      </c>
      <c r="G80" s="31" t="inlineStr">
        <is>
          <t>2026-09-14T16:05:21-07:00</t>
        </is>
      </c>
      <c r="H80" s="31" t="inlineStr">
        <is>
          <t>https://glavtrassa.ru/api/calc/?method=api_calc&amp;responseFormat=json&amp;depPoint=35&amp;arrPoint=36&amp;cargoMest%5B1%5D=1&amp;cargoKg%5B1%5D=5000&amp;cargoL%5B1%5D=2.9240&amp;cargoW%5B1%5D=2.9240&amp;cargoH%5B1%5D=2.9240&amp;cargoCalculation%5B1%5D=1</t>
        </is>
      </c>
      <c r="I80" s="35" t="inlineStr">
        <is>
          <t>Расчёт калькулятора: 5000 кг, 25 м³, терминал → терминал</t>
        </is>
      </c>
      <c r="J80" s="31" t="n"/>
      <c r="K80" s="31" t="n"/>
      <c r="L80" s="31" t="n"/>
      <c r="M80" s="31" t="inlineStr"/>
      <c r="N80" s="35" t="inlineStr"/>
    </row>
    <row r="81" ht="45" customHeight="1">
      <c r="A81" s="31" t="inlineStr">
        <is>
          <t>Werner</t>
        </is>
      </c>
      <c r="B81" s="31" t="inlineStr">
        <is>
          <t>Москва</t>
        </is>
      </c>
      <c r="C81" s="31" t="inlineStr">
        <is>
          <t>Санкт-Петербург</t>
        </is>
      </c>
      <c r="D81" s="35" t="inlineStr">
        <is>
          <t>до 10000 кг</t>
        </is>
      </c>
      <c r="E81" s="31" t="n">
        <v>110097</v>
      </c>
      <c r="F81" s="31" t="inlineStr">
        <is>
          <t>Проверено при сборе</t>
        </is>
      </c>
      <c r="G81" s="31" t="inlineStr">
        <is>
          <t>2026-09-14T16:09:12-07:00</t>
        </is>
      </c>
      <c r="H81" s="31" t="inlineStr">
        <is>
          <t>https://wernerus.ru/api/calc/?method=api_calc&amp;responseFormat=json&amp;depPoint=35&amp;arrPoint=36&amp;cargoMest%5B1%5D=1&amp;cargoKg%5B1%5D=10000&amp;cargoL%5B1%5D=3.6840&amp;cargoW%5B1%5D=3.6840&amp;cargoH%5B1%5D=3.6840&amp;cargoCalculation%5B1%5D=1</t>
        </is>
      </c>
      <c r="I81" s="35" t="inlineStr">
        <is>
          <t>Расчёт калькулятора: 10000 кг, 50 м³, терминал → терминал</t>
        </is>
      </c>
      <c r="J81" s="31" t="n"/>
      <c r="K81" s="31" t="n"/>
      <c r="L81" s="31" t="n"/>
      <c r="M81" s="31" t="inlineStr"/>
      <c r="N81" s="35" t="inlineStr"/>
    </row>
    <row r="82" ht="45" customHeight="1">
      <c r="A82" s="31" t="inlineStr">
        <is>
          <t>Главтрасса</t>
        </is>
      </c>
      <c r="B82" s="31" t="inlineStr">
        <is>
          <t>Москва</t>
        </is>
      </c>
      <c r="C82" s="31" t="inlineStr">
        <is>
          <t>Санкт-Петербург</t>
        </is>
      </c>
      <c r="D82" s="35" t="inlineStr">
        <is>
          <t>до 10000 кг</t>
        </is>
      </c>
      <c r="E82" s="31" t="n">
        <v>143746</v>
      </c>
      <c r="F82" s="31" t="inlineStr">
        <is>
          <t>Проверено при сборе</t>
        </is>
      </c>
      <c r="G82" s="31" t="inlineStr">
        <is>
          <t>2026-09-14T16:05:20-07:00</t>
        </is>
      </c>
      <c r="H82" s="31" t="inlineStr">
        <is>
          <t>https://glavtrassa.ru/api/calc/?method=api_calc&amp;responseFormat=json&amp;depPoint=35&amp;arrPoint=36&amp;cargoMest%5B1%5D=1&amp;cargoKg%5B1%5D=10000&amp;cargoL%5B1%5D=3.6840&amp;cargoW%5B1%5D=3.6840&amp;cargoH%5B1%5D=3.6840&amp;cargoCalculation%5B1%5D=1</t>
        </is>
      </c>
      <c r="I82" s="35" t="inlineStr">
        <is>
          <t>Расчёт калькулятора: 10000 кг, 50 м³, терминал → терминал</t>
        </is>
      </c>
      <c r="J82" s="31" t="n"/>
      <c r="K82" s="31" t="n"/>
      <c r="L82" s="31" t="n"/>
      <c r="M82" s="31" t="inlineStr"/>
      <c r="N82" s="35" t="inlineStr"/>
    </row>
    <row r="83" ht="45" customHeight="1">
      <c r="A83" s="31" t="inlineStr">
        <is>
          <t>Новая Линия</t>
        </is>
      </c>
      <c r="B83" s="31" t="inlineStr">
        <is>
          <t>Москва</t>
        </is>
      </c>
      <c r="C83" s="31" t="inlineStr">
        <is>
          <t>Санкт-Петербург</t>
        </is>
      </c>
      <c r="D83" s="35" t="inlineStr">
        <is>
          <t>до 10000 кг, до 20000 кг</t>
        </is>
      </c>
      <c r="E83" s="31" t="n"/>
      <c r="F83" s="31" t="inlineStr">
        <is>
          <t>По запросу</t>
        </is>
      </c>
      <c r="G83" s="31" t="inlineStr">
        <is>
          <t>2026-09-14T16:09:16-07:00</t>
        </is>
      </c>
      <c r="H83" s="31" t="inlineStr">
        <is>
          <t>https://tknl.ru/calculator/</t>
        </is>
      </c>
      <c r="I83" s="35" t="inlineStr">
        <is>
          <t>Опубликованный тариф по весу; объём и дополнительные услуги не включены</t>
        </is>
      </c>
      <c r="J83" s="31" t="n"/>
      <c r="K83" s="31" t="n"/>
      <c r="L83" s="31" t="inlineStr">
        <is>
          <t>080f14e057f1fb43afcd02e386da155c94cb16db15fe46e3850aeefcc184e9db</t>
        </is>
      </c>
      <c r="M83" s="31" t="inlineStr"/>
      <c r="N83" s="35" t="inlineStr">
        <is>
          <t>Официальный калькулятор: индивидуальный расчёт для этого веса; цена предоставляется по запросу.</t>
        </is>
      </c>
    </row>
    <row r="84" ht="45" customHeight="1">
      <c r="A84" s="31" t="inlineStr">
        <is>
          <t>Werner</t>
        </is>
      </c>
      <c r="B84" s="31" t="inlineStr">
        <is>
          <t>Москва</t>
        </is>
      </c>
      <c r="C84" s="31" t="inlineStr">
        <is>
          <t>Санкт-Петербург</t>
        </is>
      </c>
      <c r="D84" s="35" t="inlineStr">
        <is>
          <t>до 20000 кг</t>
        </is>
      </c>
      <c r="E84" s="31" t="n">
        <v>220102</v>
      </c>
      <c r="F84" s="31" t="inlineStr">
        <is>
          <t>Проверено при сборе</t>
        </is>
      </c>
      <c r="G84" s="31" t="inlineStr">
        <is>
          <t>2026-09-14T16:09:13-07:00</t>
        </is>
      </c>
      <c r="H84" s="31" t="inlineStr">
        <is>
          <t>https://wernerus.ru/api/calc/?method=api_calc&amp;responseFormat=json&amp;depPoint=35&amp;arrPoint=36&amp;cargoMest%5B1%5D=1&amp;cargoKg%5B1%5D=20000&amp;cargoL%5B1%5D=4.6416&amp;cargoW%5B1%5D=4.6416&amp;cargoH%5B1%5D=4.6416&amp;cargoCalculation%5B1%5D=1</t>
        </is>
      </c>
      <c r="I84" s="35" t="inlineStr">
        <is>
          <t>Расчёт калькулятора: 20000 кг, 100 м³, терминал → терминал</t>
        </is>
      </c>
      <c r="J84" s="31" t="n"/>
      <c r="K84" s="31" t="n"/>
      <c r="L84" s="31" t="n"/>
      <c r="M84" s="31" t="inlineStr"/>
      <c r="N84" s="35" t="inlineStr"/>
    </row>
    <row r="85" ht="45" customHeight="1">
      <c r="A85" s="31" t="inlineStr">
        <is>
          <t>Главтрасса</t>
        </is>
      </c>
      <c r="B85" s="31" t="inlineStr">
        <is>
          <t>Москва</t>
        </is>
      </c>
      <c r="C85" s="31" t="inlineStr">
        <is>
          <t>Санкт-Петербург</t>
        </is>
      </c>
      <c r="D85" s="35" t="inlineStr">
        <is>
          <t>до 20000 кг</t>
        </is>
      </c>
      <c r="E85" s="31" t="n">
        <v>287502</v>
      </c>
      <c r="F85" s="31" t="inlineStr">
        <is>
          <t>Проверено при сборе</t>
        </is>
      </c>
      <c r="G85" s="31" t="inlineStr">
        <is>
          <t>2026-09-14T16:05:21-07:00</t>
        </is>
      </c>
      <c r="H85" s="31" t="inlineStr">
        <is>
          <t>https://glavtrassa.ru/api/calc/?method=api_calc&amp;responseFormat=json&amp;depPoint=35&amp;arrPoint=36&amp;cargoMest%5B1%5D=1&amp;cargoKg%5B1%5D=20000&amp;cargoL%5B1%5D=4.6416&amp;cargoW%5B1%5D=4.6416&amp;cargoH%5B1%5D=4.6416&amp;cargoCalculation%5B1%5D=1</t>
        </is>
      </c>
      <c r="I85" s="35" t="inlineStr">
        <is>
          <t>Расчёт калькулятора: 20000 кг, 100 м³, терминал → терминал</t>
        </is>
      </c>
      <c r="J85" s="31" t="n"/>
      <c r="K85" s="31" t="n"/>
      <c r="L85" s="31" t="n"/>
      <c r="M85" s="31" t="inlineStr"/>
      <c r="N85" s="35" t="inlineStr"/>
    </row>
  </sheetData>
  <autoFilter ref="A1:N85"/>
  <pageMargins left="0.75" right="0.75" top="1" bottom="1" header="0.5" footer="0.5"/>
  <pageSetup orientation="landscape" paperSize="8" fitToHeight="0" fitToWidth="1"/>
</worksheet>
</file>

<file path=xl/worksheets/sheet44.xml><?xml version="1.0" encoding="utf-8"?>
<worksheet xmlns="http://schemas.openxmlformats.org/spreadsheetml/2006/main">
  <sheetPr>
    <outlinePr summaryBelow="1" summaryRight="1"/>
    <pageSetUpPr fitToPage="1"/>
  </sheetPr>
  <dimension ref="A1:B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5" customWidth="1" min="2" max="2"/>
  </cols>
  <sheetData>
    <row r="1" ht="42" customHeight="1">
      <c r="A1" s="36" t="inlineStr">
        <is>
          <t>Отчёт</t>
        </is>
      </c>
      <c r="B1" s="36" t="inlineStr">
        <is>
          <t>Все компании и маршруты</t>
        </is>
      </c>
    </row>
    <row r="2" ht="42" customHeight="1">
      <c r="A2" s="36" t="inlineStr">
        <is>
          <t>Начало проверки</t>
        </is>
      </c>
      <c r="B2" s="36" t="inlineStr">
        <is>
          <t>2026-09-14T16:04:16-07:00</t>
        </is>
      </c>
    </row>
    <row r="3" ht="42" customHeight="1">
      <c r="A3" s="36" t="inlineStr">
        <is>
          <t>Последний ответ</t>
        </is>
      </c>
      <c r="B3" s="36" t="inlineStr">
        <is>
          <t>2026-09-14T16:10:35-07:00</t>
        </is>
      </c>
    </row>
    <row r="4" ht="42" customHeight="1">
      <c r="A4" s="36" t="inlineStr">
        <is>
          <t>Создан Excel</t>
        </is>
      </c>
      <c r="B4" s="36" t="inlineStr">
        <is>
          <t>2026-09-14T16:12:30-07:00</t>
        </is>
      </c>
    </row>
    <row r="5" ht="42" customHeight="1">
      <c r="A5" s="36" t="inlineStr">
        <is>
          <t>Маршрутов в плане</t>
        </is>
      </c>
      <c r="B5" s="36" t="n">
        <v>1</v>
      </c>
    </row>
    <row r="6" ht="42" customHeight="1">
      <c r="A6" s="36" t="inlineStr">
        <is>
          <t>Маршрутов проверено</t>
        </is>
      </c>
      <c r="B6" s="36" t="n">
        <v>1</v>
      </c>
    </row>
    <row r="7" ht="42" customHeight="1">
      <c r="A7" s="36" t="inlineStr">
        <is>
          <t>Маршрутов в этом файле</t>
        </is>
      </c>
      <c r="B7" s="36" t="n">
        <v>1</v>
      </c>
    </row>
    <row r="8" ht="42" customHeight="1">
      <c r="A8" s="36" t="inlineStr">
        <is>
          <t>Проверок компаний в плане</t>
        </is>
      </c>
      <c r="B8" s="36" t="n">
        <v>18</v>
      </c>
    </row>
    <row r="9" ht="42" customHeight="1">
      <c r="A9" s="36" t="inlineStr">
        <is>
          <t>Проверок выполнено</t>
        </is>
      </c>
      <c r="B9" s="36" t="n">
        <v>18</v>
      </c>
    </row>
    <row r="10" ht="42" customHeight="1">
      <c r="A10" s="36" t="inlineStr">
        <is>
          <t>Часть</t>
        </is>
      </c>
      <c r="B10" s="36" t="inlineStr">
        <is>
          <t>1 из 1</t>
        </is>
      </c>
    </row>
    <row r="11" ht="42" customHeight="1">
      <c r="A11" s="36" t="inlineStr">
        <is>
          <t>Завершение</t>
        </is>
      </c>
      <c r="B11" s="36" t="inlineStr">
        <is>
          <t>Все запланированные проверки выполнены</t>
        </is>
      </c>
    </row>
    <row r="12" ht="42" customHeight="1">
      <c r="A12" s="36" t="inlineStr">
        <is>
          <t>Обновление</t>
        </is>
      </c>
      <c r="B12" s="36" t="inlineStr">
        <is>
          <t>Запустите новый общий сбор в приложении, затем скачайте Excel</t>
        </is>
      </c>
    </row>
    <row r="13" ht="42" customHeight="1">
      <c r="A13" s="36" t="inlineStr">
        <is>
          <t>Время цен</t>
        </is>
      </c>
      <c r="B13" s="36" t="inlineStr">
        <is>
          <t>Цены проверялись последовательно. Дата каждого источника указана в «Источники». Это не одновременный снимок всех сайтов.</t>
        </is>
      </c>
    </row>
    <row r="14" ht="42" customHeight="1">
      <c r="A14" s="36" t="inlineStr">
        <is>
          <t>Источники</t>
        </is>
      </c>
      <c r="B14" s="36" t="inlineStr">
        <is>
          <t>В общий отчёт входят только ответы этого онлайн-сбора. Импорты и старые тарифы не подставляются.</t>
        </is>
      </c>
    </row>
    <row r="15" ht="42" customHeight="1">
      <c r="A15" s="36" t="inlineStr">
        <is>
          <t>Весовые источники</t>
        </is>
      </c>
      <c r="B15" s="36" t="inlineStr">
        <is>
          <t>Одна строка «Источники» может объединять веса одного документа. Суммы — на листе компании; от 100 кг ставка умножается на контрольный вес.</t>
        </is>
      </c>
    </row>
    <row r="16" ht="42" customHeight="1">
      <c r="A16" s="36" t="inlineStr">
        <is>
          <t>Отсутствующие цены</t>
        </is>
      </c>
      <c r="B16" s="36" t="inlineStr">
        <is>
          <t>Нет данных / по запросу — источник не дал числовой тариф. Это не нулевая стоимость.</t>
        </is>
      </c>
    </row>
    <row r="17" ht="42" customHeight="1">
      <c r="A17" s="36" t="inlineStr">
        <is>
          <t>Результат проверки компаний</t>
        </is>
      </c>
      <c r="B17" s="36" t="inlineStr">
        <is>
          <t>Количество</t>
        </is>
      </c>
    </row>
    <row r="18" ht="42" customHeight="1">
      <c r="A18" s="36" t="inlineStr">
        <is>
          <t>Все 28 весов</t>
        </is>
      </c>
      <c r="B18" s="36" t="n">
        <v>12</v>
      </c>
    </row>
    <row r="19" ht="42" customHeight="1">
      <c r="A19" s="36" t="inlineStr">
        <is>
          <t>Ошибка источника</t>
        </is>
      </c>
      <c r="B19" s="36" t="n">
        <v>2</v>
      </c>
    </row>
    <row r="20" ht="42" customHeight="1">
      <c r="A20" s="36" t="inlineStr">
        <is>
          <t>Неполная сетка / по запросу</t>
        </is>
      </c>
      <c r="B20" s="36" t="n">
        <v>3</v>
      </c>
    </row>
    <row r="21" ht="42" customHeight="1">
      <c r="A21" s="36" t="inlineStr">
        <is>
          <t>Нет подключённого публичного тарифа</t>
        </is>
      </c>
      <c r="B21" s="36" t="n">
        <v>1</v>
      </c>
    </row>
  </sheetData>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2026-09-14T23:12:30Z</dcterms:created>
  <dcterms:modified xmlns:dcterms="http://purl.org/dc/terms/" xmlns:xsi="http://www.w3.org/2001/XMLSchema-instance" xsi:type="dcterms:W3CDTF">2026-09-14T23:12:30Z</dcterms:modified>
</cp:coreProperties>
</file>